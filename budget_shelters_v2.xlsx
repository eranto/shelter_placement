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בקרה" sheetId="1" state="visible" r:id="rId1"/>
    <sheet xmlns:r="http://schemas.openxmlformats.org/officeDocument/2006/relationships" name="מיגוניות" sheetId="2" state="visible" r:id="rId2"/>
    <sheet xmlns:r="http://schemas.openxmlformats.org/officeDocument/2006/relationships" name="לפי אזור" sheetId="3" state="visible" r:id="rId3"/>
    <sheet xmlns:r="http://schemas.openxmlformats.org/officeDocument/2006/relationships" name="לפי קיבול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₪"/>
    <numFmt numFmtId="165" formatCode="0.00000"/>
  </numFmts>
  <fonts count="9">
    <font>
      <name val="Calibri"/>
      <family val="2"/>
      <color theme="1"/>
      <sz val="11"/>
      <scheme val="minor"/>
    </font>
    <font>
      <b val="1"/>
      <sz val="15"/>
    </font>
    <font>
      <i val="1"/>
      <color rgb="00888888"/>
      <sz val="10"/>
    </font>
    <font>
      <b val="1"/>
      <sz val="12"/>
    </font>
    <font>
      <b val="1"/>
      <sz val="11"/>
    </font>
    <font>
      <i val="1"/>
      <color rgb="00888888"/>
      <sz val="9"/>
    </font>
    <font>
      <b val="1"/>
      <sz val="13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A535C"/>
      </patternFill>
    </fill>
    <fill>
      <patternFill patternType="solid">
        <fgColor rgb="00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0" fillId="2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3" fontId="0" fillId="4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לוח בקרה — תקציב מיגוניות כבישים | ישראל</t>
        </is>
      </c>
    </row>
    <row r="2">
      <c r="A2" s="2" t="inlineStr">
        <is>
          <t>שנה את התאים המסומנים בצהוב כדי לעדכן את כל החישובים</t>
        </is>
      </c>
    </row>
    <row r="4">
      <c r="A4" s="3" t="inlineStr">
        <is>
          <t>עלות יחידה לפי קיבולת (ניתן לשינוי)</t>
        </is>
      </c>
    </row>
    <row r="5">
      <c r="A5" s="4" t="inlineStr">
        <is>
          <t>קיבולת (אנשים)</t>
        </is>
      </c>
      <c r="B5" s="4" t="inlineStr">
        <is>
          <t>עלות ליחידה (₪)</t>
        </is>
      </c>
      <c r="C5" s="4" t="inlineStr">
        <is>
          <t>כמות</t>
        </is>
      </c>
      <c r="D5" s="4" t="inlineStr">
        <is>
          <t>עלות כוללת (₪)</t>
        </is>
      </c>
      <c r="E5" s="4" t="inlineStr">
        <is>
          <t>שורה בנוסחה</t>
        </is>
      </c>
    </row>
    <row r="6">
      <c r="A6" t="n">
        <v>6</v>
      </c>
      <c r="B6" s="5" t="n">
        <v>73000</v>
      </c>
      <c r="C6" t="n">
        <v>1</v>
      </c>
      <c r="D6" s="6">
        <f>B6*C6</f>
        <v/>
      </c>
    </row>
    <row r="7">
      <c r="A7" t="n">
        <v>12</v>
      </c>
      <c r="B7" s="5" t="n">
        <v>100000</v>
      </c>
      <c r="C7" t="n">
        <v>29</v>
      </c>
      <c r="D7" s="6">
        <f>B7*C7</f>
        <v/>
      </c>
    </row>
    <row r="8">
      <c r="A8" t="n">
        <v>20</v>
      </c>
      <c r="B8" s="5" t="n">
        <v>150000</v>
      </c>
      <c r="C8" t="n">
        <v>181</v>
      </c>
      <c r="D8" s="6">
        <f>B8*C8</f>
        <v/>
      </c>
    </row>
    <row r="9">
      <c r="A9" t="n">
        <v>30</v>
      </c>
      <c r="B9" s="5" t="n">
        <v>200000</v>
      </c>
      <c r="C9" t="n">
        <v>22</v>
      </c>
      <c r="D9" s="6">
        <f>B9*C9</f>
        <v/>
      </c>
    </row>
    <row r="10">
      <c r="A10" t="n">
        <v>50</v>
      </c>
      <c r="B10" s="5" t="n">
        <v>250000</v>
      </c>
      <c r="C10" t="n">
        <v>86</v>
      </c>
      <c r="D10" s="6">
        <f>B10*C10</f>
        <v/>
      </c>
    </row>
    <row r="11">
      <c r="A11" s="4" t="inlineStr">
        <is>
          <t>עלות הון סה"כ</t>
        </is>
      </c>
      <c r="D11" s="7">
        <f>D6+D7+D8+D9+D10</f>
        <v/>
      </c>
    </row>
    <row r="13">
      <c r="A13" s="3" t="inlineStr">
        <is>
          <t>פרמטרים נוספים (ניתן לשינוי)</t>
        </is>
      </c>
    </row>
    <row r="14">
      <c r="A14" t="inlineStr">
        <is>
          <t>רזרבה / אי-וודאות (%)</t>
        </is>
      </c>
      <c r="B14" s="8" t="n">
        <v>15</v>
      </c>
    </row>
    <row r="15">
      <c r="A15" t="inlineStr">
        <is>
          <t>עלות תחזוקה שנתית לכל מיגונית (₪)</t>
        </is>
      </c>
      <c r="B15" s="5" t="n">
        <v>15000</v>
      </c>
    </row>
    <row r="17">
      <c r="A17" s="3" t="inlineStr">
        <is>
          <t>סיכום תקציבי</t>
        </is>
      </c>
    </row>
    <row r="18">
      <c r="A18" t="inlineStr">
        <is>
          <t>מספר מיגוניות</t>
        </is>
      </c>
      <c r="B18" t="n">
        <v>319</v>
      </c>
    </row>
    <row r="19">
      <c r="A19" t="inlineStr">
        <is>
          <t>עלות הון (ללא מע"מ)</t>
        </is>
      </c>
      <c r="B19" s="6">
        <f>D11</f>
        <v/>
      </c>
    </row>
    <row r="20">
      <c r="A20" t="inlineStr">
        <is>
          <t>רזרבה</t>
        </is>
      </c>
      <c r="B20" s="6">
        <f>D11*B14/100</f>
        <v/>
      </c>
    </row>
    <row r="21">
      <c r="A21" t="inlineStr">
        <is>
          <t>עלות הון כולל רזרבה</t>
        </is>
      </c>
      <c r="B21" s="7">
        <f>D11*(1+B14/100)</f>
        <v/>
      </c>
    </row>
    <row r="22">
      <c r="A22" t="inlineStr">
        <is>
          <t>עלות תחזוקה שנתית (319 מיגוניות)</t>
        </is>
      </c>
      <c r="B22" s="6">
        <f>B15*319</f>
        <v/>
      </c>
    </row>
    <row r="23">
      <c r="A23" t="inlineStr">
        <is>
          <t>עלות כוללת ל-10 שנים</t>
        </is>
      </c>
      <c r="B23" s="7">
        <f>D11*(1+B14/100)+B15*319*10</f>
        <v/>
      </c>
    </row>
    <row r="25">
      <c r="A25" s="9" t="inlineStr">
        <is>
          <t>הערות: עלויות ללא מע"מ. מבוסס על אלגוריתם Gonzalez k-center | תקן 5 דקות | 319 מיגוניות | ישראל בלבד (קו ירוק 1967) | קיבולת מחושבת לפי תנועה בשעת שיא בזמן מלחמה (10% מתנועה רגילה)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24" customWidth="1" min="4" max="4"/>
    <col width="10" customWidth="1" min="5" max="5"/>
    <col width="24" customWidth="1" min="6" max="6"/>
    <col width="14" customWidth="1" min="7" max="7"/>
    <col width="18" customWidth="1" min="8" max="8"/>
    <col width="18" customWidth="1" min="9" max="9"/>
    <col width="18" customWidth="1" min="10" max="10"/>
    <col width="12" customWidth="1" min="11" max="11"/>
    <col width="14" customWidth="1" min="12" max="12"/>
    <col width="20" customWidth="1" min="13" max="13"/>
  </cols>
  <sheetData>
    <row r="1">
      <c r="A1" s="10" t="inlineStr">
        <is>
          <t>רשימת מיגוניות מלאה — 319 יחידות</t>
        </is>
      </c>
    </row>
    <row r="2">
      <c r="A2" s="11" t="inlineStr">
        <is>
          <t>#</t>
        </is>
      </c>
      <c r="B2" s="11" t="inlineStr">
        <is>
          <t>קו רוחב</t>
        </is>
      </c>
      <c r="C2" s="11" t="inlineStr">
        <is>
          <t>קו אורך</t>
        </is>
      </c>
      <c r="D2" s="11" t="inlineStr">
        <is>
          <t>כביש</t>
        </is>
      </c>
      <c r="E2" s="11" t="inlineStr">
        <is>
          <t>אזור</t>
        </is>
      </c>
      <c r="F2" s="11" t="inlineStr">
        <is>
          <t>אזור גיאוגרפי</t>
        </is>
      </c>
      <c r="G2" s="11" t="inlineStr">
        <is>
          <t>קיבולת (אנשים)</t>
        </is>
      </c>
      <c r="H2" s="11" t="inlineStr">
        <is>
          <t>עלות יחידה (₪)</t>
        </is>
      </c>
      <c r="I2" s="11" t="inlineStr">
        <is>
          <t>תנועה יומית רגילה</t>
        </is>
      </c>
      <c r="J2" s="11" t="inlineStr">
        <is>
          <t>תנועה בזמן מלחמה</t>
        </is>
      </c>
      <c r="K2" s="11" t="inlineStr">
        <is>
          <t>מהירות (קמ"ש)</t>
        </is>
      </c>
      <c r="L2" s="11" t="inlineStr">
        <is>
          <t>אנשים צפויים</t>
        </is>
      </c>
      <c r="M2" s="11" t="inlineStr">
        <is>
          <t>התרעות מר-אפר 2026</t>
        </is>
      </c>
    </row>
    <row r="3">
      <c r="A3" t="n">
        <v>1</v>
      </c>
      <c r="B3" s="12" t="n">
        <v>33.06041</v>
      </c>
      <c r="C3" s="12" t="n">
        <v>35.23072</v>
      </c>
      <c r="D3" t="inlineStr">
        <is>
          <t>כביש הצפון</t>
        </is>
      </c>
      <c r="E3" t="inlineStr">
        <is>
          <t>צפון</t>
        </is>
      </c>
      <c r="F3" t="inlineStr">
        <is>
          <t>צפון (גליל / גבול לבנון)</t>
        </is>
      </c>
      <c r="G3" t="n">
        <v>20</v>
      </c>
      <c r="H3" s="6" t="n">
        <v>150000</v>
      </c>
      <c r="I3" s="13" t="n">
        <v>8000</v>
      </c>
      <c r="J3" s="13" t="n">
        <v>800</v>
      </c>
      <c r="K3" t="n">
        <v>80</v>
      </c>
      <c r="L3" t="n">
        <v>12.5</v>
      </c>
      <c r="M3" t="n">
        <v>14686</v>
      </c>
    </row>
    <row r="4">
      <c r="A4" s="14" t="n">
        <v>2</v>
      </c>
      <c r="B4" s="15" t="n">
        <v>33.01583</v>
      </c>
      <c r="C4" s="15" t="n">
        <v>35.17106</v>
      </c>
      <c r="D4" s="14" t="inlineStr">
        <is>
          <t>89</t>
        </is>
      </c>
      <c r="E4" s="14" t="inlineStr">
        <is>
          <t>רגיל</t>
        </is>
      </c>
      <c r="F4" s="14" t="inlineStr">
        <is>
          <t>צפון (גליל / גבול לבנון)</t>
        </is>
      </c>
      <c r="G4" s="14" t="n">
        <v>20</v>
      </c>
      <c r="H4" s="16" t="n">
        <v>150000</v>
      </c>
      <c r="I4" s="17" t="n">
        <v>9000</v>
      </c>
      <c r="J4" s="17" t="n">
        <v>900</v>
      </c>
      <c r="K4" s="14" t="n">
        <v>90</v>
      </c>
      <c r="L4" s="14" t="n">
        <v>14</v>
      </c>
      <c r="M4" s="14" t="n">
        <v>16465</v>
      </c>
    </row>
    <row r="5">
      <c r="A5" t="n">
        <v>3</v>
      </c>
      <c r="B5" s="12" t="n">
        <v>32.98698</v>
      </c>
      <c r="C5" s="12" t="n">
        <v>35.14722</v>
      </c>
      <c r="D5" t="inlineStr">
        <is>
          <t>70</t>
        </is>
      </c>
      <c r="E5" t="inlineStr">
        <is>
          <t>רגיל</t>
        </is>
      </c>
      <c r="F5" t="inlineStr">
        <is>
          <t>חיפה / כרמל</t>
        </is>
      </c>
      <c r="G5" t="n">
        <v>50</v>
      </c>
      <c r="H5" s="6" t="n">
        <v>250000</v>
      </c>
      <c r="I5" s="13" t="n">
        <v>20000</v>
      </c>
      <c r="J5" s="13" t="n">
        <v>2000</v>
      </c>
      <c r="K5" t="n">
        <v>90</v>
      </c>
      <c r="L5" t="n">
        <v>31.2</v>
      </c>
      <c r="M5" t="n">
        <v>16547</v>
      </c>
    </row>
    <row r="6">
      <c r="A6" s="14" t="n">
        <v>5</v>
      </c>
      <c r="B6" s="15" t="n">
        <v>32.96085</v>
      </c>
      <c r="C6" s="15" t="n">
        <v>35.15463</v>
      </c>
      <c r="D6" s="14" t="inlineStr">
        <is>
          <t>70</t>
        </is>
      </c>
      <c r="E6" s="14" t="inlineStr">
        <is>
          <t>רגיל</t>
        </is>
      </c>
      <c r="F6" s="14" t="inlineStr">
        <is>
          <t>חיפה / כרמל</t>
        </is>
      </c>
      <c r="G6" s="14" t="n">
        <v>50</v>
      </c>
      <c r="H6" s="16" t="n">
        <v>250000</v>
      </c>
      <c r="I6" s="17" t="n">
        <v>20000</v>
      </c>
      <c r="J6" s="17" t="n">
        <v>2000</v>
      </c>
      <c r="K6" s="14" t="n">
        <v>90</v>
      </c>
      <c r="L6" s="14" t="n">
        <v>39</v>
      </c>
      <c r="M6" s="14" t="n">
        <v>17553</v>
      </c>
    </row>
    <row r="7">
      <c r="A7" t="n">
        <v>6</v>
      </c>
      <c r="B7" s="12" t="n">
        <v>32.97825</v>
      </c>
      <c r="C7" s="12" t="n">
        <v>35.0938</v>
      </c>
      <c r="D7" t="inlineStr">
        <is>
          <t>גדוד 21</t>
        </is>
      </c>
      <c r="E7" t="inlineStr">
        <is>
          <t>רגיל</t>
        </is>
      </c>
      <c r="F7" t="inlineStr">
        <is>
          <t>חיפה / כרמל</t>
        </is>
      </c>
      <c r="G7" t="n">
        <v>30</v>
      </c>
      <c r="H7" s="6" t="n">
        <v>200000</v>
      </c>
      <c r="I7" s="13" t="n">
        <v>13000</v>
      </c>
      <c r="J7" s="13" t="n">
        <v>1300</v>
      </c>
      <c r="K7" t="n">
        <v>90</v>
      </c>
      <c r="L7" t="n">
        <v>20.3</v>
      </c>
      <c r="M7" t="n">
        <v>12425</v>
      </c>
    </row>
    <row r="8">
      <c r="A8" s="14" t="n">
        <v>7</v>
      </c>
      <c r="B8" s="15" t="n">
        <v>31.86148</v>
      </c>
      <c r="C8" s="15" t="n">
        <v>34.89522</v>
      </c>
      <c r="D8" s="14" t="inlineStr">
        <is>
          <t>44</t>
        </is>
      </c>
      <c r="E8" s="14" t="inlineStr">
        <is>
          <t>רגיל</t>
        </is>
      </c>
      <c r="F8" s="14" t="inlineStr">
        <is>
          <t>ירושלים / שפלה</t>
        </is>
      </c>
      <c r="G8" s="14" t="n">
        <v>50</v>
      </c>
      <c r="H8" s="16" t="n">
        <v>250000</v>
      </c>
      <c r="I8" s="17" t="n">
        <v>18000</v>
      </c>
      <c r="J8" s="17" t="n">
        <v>1800</v>
      </c>
      <c r="K8" s="14" t="n">
        <v>80</v>
      </c>
      <c r="L8" s="14" t="n">
        <v>35.1</v>
      </c>
      <c r="M8" s="14" t="n">
        <v>51554</v>
      </c>
    </row>
    <row r="9">
      <c r="A9" t="n">
        <v>8</v>
      </c>
      <c r="B9" s="12" t="n">
        <v>32.01663</v>
      </c>
      <c r="C9" s="12" t="n">
        <v>34.92661</v>
      </c>
      <c r="D9" t="inlineStr">
        <is>
          <t>46</t>
        </is>
      </c>
      <c r="E9" t="inlineStr">
        <is>
          <t>רגיל</t>
        </is>
      </c>
      <c r="F9" t="inlineStr">
        <is>
          <t>מרכז (שרון / גוש דן)</t>
        </is>
      </c>
      <c r="G9" t="n">
        <v>30</v>
      </c>
      <c r="H9" s="6" t="n">
        <v>200000</v>
      </c>
      <c r="I9" s="13" t="n">
        <v>4000</v>
      </c>
      <c r="J9" s="13" t="n">
        <v>400</v>
      </c>
      <c r="K9" t="n">
        <v>90</v>
      </c>
      <c r="L9" t="n">
        <v>7.8</v>
      </c>
      <c r="M9" t="n">
        <v>54758</v>
      </c>
    </row>
    <row r="10">
      <c r="A10" s="14" t="n">
        <v>9</v>
      </c>
      <c r="B10" s="15" t="n">
        <v>32.03258</v>
      </c>
      <c r="C10" s="15" t="n">
        <v>34.9551</v>
      </c>
      <c r="D10" s="14" t="inlineStr">
        <is>
          <t>444</t>
        </is>
      </c>
      <c r="E10" s="14" t="inlineStr">
        <is>
          <t>רגיל</t>
        </is>
      </c>
      <c r="F10" s="14" t="inlineStr">
        <is>
          <t>מרכז (שרון / גוש דן)</t>
        </is>
      </c>
      <c r="G10" s="14" t="n">
        <v>50</v>
      </c>
      <c r="H10" s="16" t="n">
        <v>250000</v>
      </c>
      <c r="I10" s="17" t="n">
        <v>8000</v>
      </c>
      <c r="J10" s="17" t="n">
        <v>800</v>
      </c>
      <c r="K10" s="14" t="n">
        <v>80</v>
      </c>
      <c r="L10" s="14" t="n">
        <v>15.6</v>
      </c>
      <c r="M10" s="14" t="n">
        <v>54291</v>
      </c>
    </row>
    <row r="11">
      <c r="A11" t="n">
        <v>10</v>
      </c>
      <c r="B11" s="12" t="n">
        <v>33.00261</v>
      </c>
      <c r="C11" s="12" t="n">
        <v>35.28692</v>
      </c>
      <c r="D11" t="inlineStr">
        <is>
          <t>89</t>
        </is>
      </c>
      <c r="E11" t="inlineStr">
        <is>
          <t>רגיל</t>
        </is>
      </c>
      <c r="F11" t="inlineStr">
        <is>
          <t>צפון (גליל / גבול לבנון)</t>
        </is>
      </c>
      <c r="G11" t="n">
        <v>20</v>
      </c>
      <c r="H11" s="6" t="n">
        <v>150000</v>
      </c>
      <c r="I11" s="13" t="n">
        <v>9000</v>
      </c>
      <c r="J11" s="13" t="n">
        <v>900</v>
      </c>
      <c r="K11" t="n">
        <v>80</v>
      </c>
      <c r="L11" t="n">
        <v>14</v>
      </c>
      <c r="M11" t="n">
        <v>16109</v>
      </c>
    </row>
    <row r="12">
      <c r="A12" s="14" t="n">
        <v>11</v>
      </c>
      <c r="B12" s="15" t="n">
        <v>31.86866</v>
      </c>
      <c r="C12" s="15" t="n">
        <v>34.74622</v>
      </c>
      <c r="D12" s="14" t="inlineStr">
        <is>
          <t>שדרות העצמאות</t>
        </is>
      </c>
      <c r="E12" s="14" t="inlineStr">
        <is>
          <t>רגיל</t>
        </is>
      </c>
      <c r="F12" s="14" t="inlineStr">
        <is>
          <t>ירושלים / שפלה</t>
        </is>
      </c>
      <c r="G12" s="14" t="n">
        <v>30</v>
      </c>
      <c r="H12" s="16" t="n">
        <v>200000</v>
      </c>
      <c r="I12" s="17" t="n">
        <v>8000</v>
      </c>
      <c r="J12" s="17" t="n">
        <v>800</v>
      </c>
      <c r="K12" s="14" t="n">
        <v>90</v>
      </c>
      <c r="L12" s="14" t="n">
        <v>15.6</v>
      </c>
      <c r="M12" s="14" t="n">
        <v>39680</v>
      </c>
    </row>
    <row r="13">
      <c r="A13" t="n">
        <v>12</v>
      </c>
      <c r="B13" s="12" t="n">
        <v>32.06814</v>
      </c>
      <c r="C13" s="12" t="n">
        <v>34.93277</v>
      </c>
      <c r="D13" t="inlineStr">
        <is>
          <t>כביש מכבית</t>
        </is>
      </c>
      <c r="E13" t="inlineStr">
        <is>
          <t>רגיל</t>
        </is>
      </c>
      <c r="F13" t="inlineStr">
        <is>
          <t>מרכז (שרון / גוש דן)</t>
        </is>
      </c>
      <c r="G13" t="n">
        <v>50</v>
      </c>
      <c r="H13" s="6" t="n">
        <v>250000</v>
      </c>
      <c r="I13" s="13" t="n">
        <v>8000</v>
      </c>
      <c r="J13" s="13" t="n">
        <v>800</v>
      </c>
      <c r="K13" t="n">
        <v>90</v>
      </c>
      <c r="L13" t="n">
        <v>15.6</v>
      </c>
      <c r="M13" t="n">
        <v>53735</v>
      </c>
    </row>
    <row r="14">
      <c r="A14" s="14" t="n">
        <v>13</v>
      </c>
      <c r="B14" s="15" t="n">
        <v>31.25739</v>
      </c>
      <c r="C14" s="15" t="n">
        <v>34.40389</v>
      </c>
      <c r="D14" s="14" t="inlineStr">
        <is>
          <t>232</t>
        </is>
      </c>
      <c r="E14" s="14" t="inlineStr">
        <is>
          <t>עוטף עזה</t>
        </is>
      </c>
      <c r="F14" s="14" t="inlineStr">
        <is>
          <t>עוטף עזה / הנגב המערבי</t>
        </is>
      </c>
      <c r="G14" s="14" t="n">
        <v>12</v>
      </c>
      <c r="H14" s="16" t="n">
        <v>100000</v>
      </c>
      <c r="I14" s="17" t="n">
        <v>7000</v>
      </c>
      <c r="J14" s="17" t="n">
        <v>700</v>
      </c>
      <c r="K14" s="14" t="n">
        <v>90</v>
      </c>
      <c r="L14" s="14" t="n">
        <v>10.9</v>
      </c>
      <c r="M14" s="14" t="n">
        <v>109</v>
      </c>
    </row>
    <row r="15">
      <c r="A15" t="n">
        <v>14</v>
      </c>
      <c r="B15" s="12" t="n">
        <v>31.80943</v>
      </c>
      <c r="C15" s="12" t="n">
        <v>34.86972</v>
      </c>
      <c r="D15" t="inlineStr">
        <is>
          <t>3</t>
        </is>
      </c>
      <c r="E15" t="inlineStr">
        <is>
          <t>רגיל</t>
        </is>
      </c>
      <c r="F15" t="inlineStr">
        <is>
          <t>ירושלים / שפלה</t>
        </is>
      </c>
      <c r="G15" t="n">
        <v>50</v>
      </c>
      <c r="H15" s="6" t="n">
        <v>250000</v>
      </c>
      <c r="I15" s="13" t="n">
        <v>30000</v>
      </c>
      <c r="J15" s="13" t="n">
        <v>3000</v>
      </c>
      <c r="K15" t="n">
        <v>90</v>
      </c>
      <c r="L15" t="n">
        <v>58.5</v>
      </c>
      <c r="M15" t="n">
        <v>43621</v>
      </c>
    </row>
    <row r="16">
      <c r="A16" s="14" t="n">
        <v>15</v>
      </c>
      <c r="B16" s="15" t="n">
        <v>32.98146</v>
      </c>
      <c r="C16" s="15" t="n">
        <v>35.27361</v>
      </c>
      <c r="D16" s="14" t="inlineStr">
        <is>
          <t>854</t>
        </is>
      </c>
      <c r="E16" s="14" t="inlineStr">
        <is>
          <t>רגיל</t>
        </is>
      </c>
      <c r="F16" s="14" t="inlineStr">
        <is>
          <t>חיפה / כרמל</t>
        </is>
      </c>
      <c r="G16" s="14" t="n">
        <v>20</v>
      </c>
      <c r="H16" s="16" t="n">
        <v>150000</v>
      </c>
      <c r="I16" s="17" t="n">
        <v>8000</v>
      </c>
      <c r="J16" s="17" t="n">
        <v>800</v>
      </c>
      <c r="K16" s="14" t="n">
        <v>50</v>
      </c>
      <c r="L16" s="14" t="n">
        <v>15.6</v>
      </c>
      <c r="M16" s="14" t="n">
        <v>16750</v>
      </c>
    </row>
    <row r="17">
      <c r="A17" t="n">
        <v>16</v>
      </c>
      <c r="B17" s="12" t="n">
        <v>31.68051</v>
      </c>
      <c r="C17" s="12" t="n">
        <v>34.60975</v>
      </c>
      <c r="D17" t="inlineStr">
        <is>
          <t>4</t>
        </is>
      </c>
      <c r="E17" t="inlineStr">
        <is>
          <t>רגיל</t>
        </is>
      </c>
      <c r="F17" t="inlineStr">
        <is>
          <t>ירושלים / שפלה</t>
        </is>
      </c>
      <c r="G17" t="n">
        <v>50</v>
      </c>
      <c r="H17" s="6" t="n">
        <v>250000</v>
      </c>
      <c r="I17" s="13" t="n">
        <v>40000</v>
      </c>
      <c r="J17" s="13" t="n">
        <v>4000</v>
      </c>
      <c r="K17" t="n">
        <v>90</v>
      </c>
      <c r="L17" t="n">
        <v>62.4</v>
      </c>
      <c r="M17" t="n">
        <v>12326</v>
      </c>
    </row>
    <row r="18">
      <c r="A18" s="14" t="n">
        <v>17</v>
      </c>
      <c r="B18" s="15" t="n">
        <v>32.09759</v>
      </c>
      <c r="C18" s="15" t="n">
        <v>34.93396</v>
      </c>
      <c r="D18" s="14" t="inlineStr">
        <is>
          <t>ראש העין</t>
        </is>
      </c>
      <c r="E18" s="14" t="inlineStr">
        <is>
          <t>רגיל</t>
        </is>
      </c>
      <c r="F18" s="14" t="inlineStr">
        <is>
          <t>מרכז (שרון / גוש דן)</t>
        </is>
      </c>
      <c r="G18" s="14" t="n">
        <v>50</v>
      </c>
      <c r="H18" s="16" t="n">
        <v>250000</v>
      </c>
      <c r="I18" s="17" t="n">
        <v>18000</v>
      </c>
      <c r="J18" s="17" t="n">
        <v>1800</v>
      </c>
      <c r="K18" s="14" t="n">
        <v>80</v>
      </c>
      <c r="L18" s="14" t="n">
        <v>35.1</v>
      </c>
      <c r="M18" s="14" t="n">
        <v>52844</v>
      </c>
    </row>
    <row r="19">
      <c r="A19" t="n">
        <v>18</v>
      </c>
      <c r="B19" s="12" t="n">
        <v>31.93083</v>
      </c>
      <c r="C19" s="12" t="n">
        <v>34.92763</v>
      </c>
      <c r="D19" t="inlineStr">
        <is>
          <t>כביש חוצה ישראל</t>
        </is>
      </c>
      <c r="E19" t="inlineStr">
        <is>
          <t>רגיל</t>
        </is>
      </c>
      <c r="F19" t="inlineStr">
        <is>
          <t>ירושלים / שפלה</t>
        </is>
      </c>
      <c r="G19" t="n">
        <v>50</v>
      </c>
      <c r="H19" s="6" t="n">
        <v>250000</v>
      </c>
      <c r="I19" s="13" t="n">
        <v>8000</v>
      </c>
      <c r="J19" s="13" t="n">
        <v>800</v>
      </c>
      <c r="K19" t="n">
        <v>110</v>
      </c>
      <c r="L19" t="n">
        <v>15.6</v>
      </c>
      <c r="M19" t="n">
        <v>52803</v>
      </c>
    </row>
    <row r="20">
      <c r="A20" s="14" t="n">
        <v>19</v>
      </c>
      <c r="B20" s="15" t="n">
        <v>31.99181</v>
      </c>
      <c r="C20" s="15" t="n">
        <v>34.85855</v>
      </c>
      <c r="D20" s="14" t="inlineStr">
        <is>
          <t>כביש ירושלים תל אביב</t>
        </is>
      </c>
      <c r="E20" s="14" t="inlineStr">
        <is>
          <t>רגיל</t>
        </is>
      </c>
      <c r="F20" s="14" t="inlineStr">
        <is>
          <t>ירושלים / שפלה</t>
        </is>
      </c>
      <c r="G20" s="14" t="n">
        <v>50</v>
      </c>
      <c r="H20" s="16" t="n">
        <v>250000</v>
      </c>
      <c r="I20" s="17" t="n">
        <v>13000</v>
      </c>
      <c r="J20" s="17" t="n">
        <v>1300</v>
      </c>
      <c r="K20" s="14" t="n">
        <v>110</v>
      </c>
      <c r="L20" s="14" t="n">
        <v>25.4</v>
      </c>
      <c r="M20" s="14" t="n">
        <v>52692</v>
      </c>
    </row>
    <row r="21">
      <c r="A21" t="n">
        <v>20</v>
      </c>
      <c r="B21" s="12" t="n">
        <v>32.95193</v>
      </c>
      <c r="C21" s="12" t="n">
        <v>35.09089</v>
      </c>
      <c r="D21" t="inlineStr">
        <is>
          <t>גדוד 21</t>
        </is>
      </c>
      <c r="E21" t="inlineStr">
        <is>
          <t>רגיל</t>
        </is>
      </c>
      <c r="F21" t="inlineStr">
        <is>
          <t>חיפה / כרמל</t>
        </is>
      </c>
      <c r="G21" t="n">
        <v>20</v>
      </c>
      <c r="H21" s="6" t="n">
        <v>150000</v>
      </c>
      <c r="I21" s="13" t="n">
        <v>8000</v>
      </c>
      <c r="J21" s="13" t="n">
        <v>800</v>
      </c>
      <c r="K21" t="n">
        <v>90</v>
      </c>
      <c r="L21" t="n">
        <v>12.5</v>
      </c>
      <c r="M21" t="n">
        <v>12418</v>
      </c>
    </row>
    <row r="22">
      <c r="A22" s="14" t="n">
        <v>21</v>
      </c>
      <c r="B22" s="15" t="n">
        <v>31.98647</v>
      </c>
      <c r="C22" s="15" t="n">
        <v>34.95076</v>
      </c>
      <c r="D22" s="14" t="inlineStr">
        <is>
          <t>444</t>
        </is>
      </c>
      <c r="E22" s="14" t="inlineStr">
        <is>
          <t>רגיל</t>
        </is>
      </c>
      <c r="F22" s="14" t="inlineStr">
        <is>
          <t>ירושלים / שפלה</t>
        </is>
      </c>
      <c r="G22" s="14" t="n">
        <v>50</v>
      </c>
      <c r="H22" s="16" t="n">
        <v>250000</v>
      </c>
      <c r="I22" s="17" t="n">
        <v>8000</v>
      </c>
      <c r="J22" s="17" t="n">
        <v>800</v>
      </c>
      <c r="K22" s="14" t="n">
        <v>90</v>
      </c>
      <c r="L22" s="14" t="n">
        <v>15.6</v>
      </c>
      <c r="M22" s="14" t="n">
        <v>52565</v>
      </c>
    </row>
    <row r="23">
      <c r="A23" t="n">
        <v>22</v>
      </c>
      <c r="B23" s="12" t="n">
        <v>32.0668</v>
      </c>
      <c r="C23" s="12" t="n">
        <v>34.90258</v>
      </c>
      <c r="D23" t="inlineStr">
        <is>
          <t>כביש מכבית</t>
        </is>
      </c>
      <c r="E23" t="inlineStr">
        <is>
          <t>רגיל</t>
        </is>
      </c>
      <c r="F23" t="inlineStr">
        <is>
          <t>מרכז (שרון / גוש דן)</t>
        </is>
      </c>
      <c r="G23" t="n">
        <v>50</v>
      </c>
      <c r="H23" s="6" t="n">
        <v>250000</v>
      </c>
      <c r="I23" s="13" t="n">
        <v>8000</v>
      </c>
      <c r="J23" s="13" t="n">
        <v>800</v>
      </c>
      <c r="K23" t="n">
        <v>100</v>
      </c>
      <c r="L23" t="n">
        <v>15.6</v>
      </c>
      <c r="M23" t="n">
        <v>52549</v>
      </c>
    </row>
    <row r="24">
      <c r="A24" s="14" t="n">
        <v>23</v>
      </c>
      <c r="B24" s="15" t="n">
        <v>31.86108</v>
      </c>
      <c r="C24" s="15" t="n">
        <v>34.71304</v>
      </c>
      <c r="D24" s="14" t="inlineStr">
        <is>
          <t>4</t>
        </is>
      </c>
      <c r="E24" s="14" t="inlineStr">
        <is>
          <t>רגיל</t>
        </is>
      </c>
      <c r="F24" s="14" t="inlineStr">
        <is>
          <t>ירושלים / שפלה</t>
        </is>
      </c>
      <c r="G24" s="14" t="n">
        <v>50</v>
      </c>
      <c r="H24" s="16" t="n">
        <v>250000</v>
      </c>
      <c r="I24" s="17" t="n">
        <v>40000</v>
      </c>
      <c r="J24" s="17" t="n">
        <v>4000</v>
      </c>
      <c r="K24" s="14" t="n">
        <v>110</v>
      </c>
      <c r="L24" s="14" t="n">
        <v>78</v>
      </c>
      <c r="M24" s="14" t="n">
        <v>34958</v>
      </c>
    </row>
    <row r="25">
      <c r="A25" t="n">
        <v>24</v>
      </c>
      <c r="B25" s="12" t="n">
        <v>33.05705</v>
      </c>
      <c r="C25" s="12" t="n">
        <v>35.32919</v>
      </c>
      <c r="D25" t="inlineStr">
        <is>
          <t>כביש הצפון</t>
        </is>
      </c>
      <c r="E25" t="inlineStr">
        <is>
          <t>צפון</t>
        </is>
      </c>
      <c r="F25" t="inlineStr">
        <is>
          <t>צפון (גליל / גבול לבנון)</t>
        </is>
      </c>
      <c r="G25" t="n">
        <v>20</v>
      </c>
      <c r="H25" s="6" t="n">
        <v>150000</v>
      </c>
      <c r="I25" s="13" t="n">
        <v>8000</v>
      </c>
      <c r="J25" s="13" t="n">
        <v>800</v>
      </c>
      <c r="K25" t="n">
        <v>80</v>
      </c>
      <c r="L25" t="n">
        <v>12.5</v>
      </c>
      <c r="M25" t="n">
        <v>9746</v>
      </c>
    </row>
    <row r="26">
      <c r="A26" s="14" t="n">
        <v>26</v>
      </c>
      <c r="B26" s="15" t="n">
        <v>31.30964</v>
      </c>
      <c r="C26" s="15" t="n">
        <v>34.4902</v>
      </c>
      <c r="D26" s="14" t="inlineStr">
        <is>
          <t>241</t>
        </is>
      </c>
      <c r="E26" s="14" t="inlineStr">
        <is>
          <t>עוטף עזה</t>
        </is>
      </c>
      <c r="F26" s="14" t="inlineStr">
        <is>
          <t>עוטף עזה / הנגב המערבי</t>
        </is>
      </c>
      <c r="G26" s="14" t="n">
        <v>20</v>
      </c>
      <c r="H26" s="16" t="n">
        <v>150000</v>
      </c>
      <c r="I26" s="17" t="n">
        <v>8000</v>
      </c>
      <c r="J26" s="17" t="n">
        <v>800</v>
      </c>
      <c r="K26" s="14" t="n">
        <v>80</v>
      </c>
      <c r="L26" s="14" t="n">
        <v>12.5</v>
      </c>
      <c r="M26" s="14" t="n">
        <v>109</v>
      </c>
    </row>
    <row r="27">
      <c r="A27" t="n">
        <v>27</v>
      </c>
      <c r="B27" s="12" t="n">
        <v>31.89926</v>
      </c>
      <c r="C27" s="12" t="n">
        <v>34.76249</v>
      </c>
      <c r="D27" t="inlineStr">
        <is>
          <t>42</t>
        </is>
      </c>
      <c r="E27" t="inlineStr">
        <is>
          <t>רגיל</t>
        </is>
      </c>
      <c r="F27" t="inlineStr">
        <is>
          <t>ירושלים / שפלה</t>
        </is>
      </c>
      <c r="G27" t="n">
        <v>50</v>
      </c>
      <c r="H27" s="6" t="n">
        <v>250000</v>
      </c>
      <c r="I27" s="13" t="n">
        <v>8000</v>
      </c>
      <c r="J27" s="13" t="n">
        <v>800</v>
      </c>
      <c r="K27" t="n">
        <v>90</v>
      </c>
      <c r="L27" t="n">
        <v>15.6</v>
      </c>
      <c r="M27" t="n">
        <v>41140</v>
      </c>
    </row>
    <row r="28">
      <c r="A28" s="14" t="n">
        <v>28</v>
      </c>
      <c r="B28" s="15" t="n">
        <v>31.74148</v>
      </c>
      <c r="C28" s="15" t="n">
        <v>34.64587</v>
      </c>
      <c r="D28" s="14" t="inlineStr">
        <is>
          <t>4</t>
        </is>
      </c>
      <c r="E28" s="14" t="inlineStr">
        <is>
          <t>רגיל</t>
        </is>
      </c>
      <c r="F28" s="14" t="inlineStr">
        <is>
          <t>ירושלים / שפלה</t>
        </is>
      </c>
      <c r="G28" s="14" t="n">
        <v>50</v>
      </c>
      <c r="H28" s="16" t="n">
        <v>250000</v>
      </c>
      <c r="I28" s="17" t="n">
        <v>40000</v>
      </c>
      <c r="J28" s="17" t="n">
        <v>4000</v>
      </c>
      <c r="K28" s="14" t="n">
        <v>90</v>
      </c>
      <c r="L28" s="14" t="n">
        <v>78</v>
      </c>
      <c r="M28" s="14" t="n">
        <v>18384</v>
      </c>
    </row>
    <row r="29">
      <c r="A29" t="n">
        <v>29</v>
      </c>
      <c r="B29" s="12" t="n">
        <v>32.11981</v>
      </c>
      <c r="C29" s="12" t="n">
        <v>34.93939</v>
      </c>
      <c r="D29" t="inlineStr">
        <is>
          <t>444</t>
        </is>
      </c>
      <c r="E29" t="inlineStr">
        <is>
          <t>רגיל</t>
        </is>
      </c>
      <c r="F29" t="inlineStr">
        <is>
          <t>מרכז (שרון / גוש דן)</t>
        </is>
      </c>
      <c r="G29" t="n">
        <v>50</v>
      </c>
      <c r="H29" s="6" t="n">
        <v>250000</v>
      </c>
      <c r="I29" s="13" t="n">
        <v>8000</v>
      </c>
      <c r="J29" s="13" t="n">
        <v>800</v>
      </c>
      <c r="K29" t="n">
        <v>80</v>
      </c>
      <c r="L29" t="n">
        <v>15.6</v>
      </c>
      <c r="M29" t="n">
        <v>50975</v>
      </c>
    </row>
    <row r="30">
      <c r="A30" s="14" t="n">
        <v>30</v>
      </c>
      <c r="B30" s="15" t="n">
        <v>31.90034</v>
      </c>
      <c r="C30" s="15" t="n">
        <v>34.73494</v>
      </c>
      <c r="D30" s="14" t="inlineStr">
        <is>
          <t>4</t>
        </is>
      </c>
      <c r="E30" s="14" t="inlineStr">
        <is>
          <t>רגיל</t>
        </is>
      </c>
      <c r="F30" s="14" t="inlineStr">
        <is>
          <t>ירושלים / שפלה</t>
        </is>
      </c>
      <c r="G30" s="14" t="n">
        <v>50</v>
      </c>
      <c r="H30" s="16" t="n">
        <v>250000</v>
      </c>
      <c r="I30" s="17" t="n">
        <v>40000</v>
      </c>
      <c r="J30" s="17" t="n">
        <v>4000</v>
      </c>
      <c r="K30" s="14" t="n">
        <v>110</v>
      </c>
      <c r="L30" s="14" t="n">
        <v>78</v>
      </c>
      <c r="M30" s="14" t="n">
        <v>39021</v>
      </c>
    </row>
    <row r="31">
      <c r="A31" t="n">
        <v>31</v>
      </c>
      <c r="B31" s="12" t="n">
        <v>31.79509</v>
      </c>
      <c r="C31" s="12" t="n">
        <v>34.68501</v>
      </c>
      <c r="D31" t="inlineStr">
        <is>
          <t>4</t>
        </is>
      </c>
      <c r="E31" t="inlineStr">
        <is>
          <t>רגיל</t>
        </is>
      </c>
      <c r="F31" t="inlineStr">
        <is>
          <t>ירושלים / שפלה</t>
        </is>
      </c>
      <c r="G31" t="n">
        <v>50</v>
      </c>
      <c r="H31" s="6" t="n">
        <v>250000</v>
      </c>
      <c r="I31" s="13" t="n">
        <v>40000</v>
      </c>
      <c r="J31" s="13" t="n">
        <v>4000</v>
      </c>
      <c r="K31" t="n">
        <v>90</v>
      </c>
      <c r="L31" t="n">
        <v>78</v>
      </c>
      <c r="M31" t="n">
        <v>25358</v>
      </c>
    </row>
    <row r="32">
      <c r="A32" s="14" t="n">
        <v>32</v>
      </c>
      <c r="B32" s="15" t="n">
        <v>31.71409</v>
      </c>
      <c r="C32" s="15" t="n">
        <v>34.64351</v>
      </c>
      <c r="D32" s="14" t="inlineStr">
        <is>
          <t>232</t>
        </is>
      </c>
      <c r="E32" s="14" t="inlineStr">
        <is>
          <t>רגיל</t>
        </is>
      </c>
      <c r="F32" s="14" t="inlineStr">
        <is>
          <t>ירושלים / שפלה</t>
        </is>
      </c>
      <c r="G32" s="14" t="n">
        <v>12</v>
      </c>
      <c r="H32" s="16" t="n">
        <v>100000</v>
      </c>
      <c r="I32" s="17" t="n">
        <v>7000</v>
      </c>
      <c r="J32" s="17" t="n">
        <v>700</v>
      </c>
      <c r="K32" s="14" t="n">
        <v>80</v>
      </c>
      <c r="L32" s="14" t="n">
        <v>10.9</v>
      </c>
      <c r="M32" s="14" t="n">
        <v>14851</v>
      </c>
    </row>
    <row r="33">
      <c r="A33" t="n">
        <v>33</v>
      </c>
      <c r="B33" s="12" t="n">
        <v>31.85984</v>
      </c>
      <c r="C33" s="12" t="n">
        <v>34.95673</v>
      </c>
      <c r="D33" t="inlineStr">
        <is>
          <t>424</t>
        </is>
      </c>
      <c r="E33" t="inlineStr">
        <is>
          <t>רגיל</t>
        </is>
      </c>
      <c r="F33" t="inlineStr">
        <is>
          <t>ירושלים / שפלה</t>
        </is>
      </c>
      <c r="G33" t="n">
        <v>50</v>
      </c>
      <c r="H33" s="6" t="n">
        <v>250000</v>
      </c>
      <c r="I33" s="13" t="n">
        <v>8000</v>
      </c>
      <c r="J33" s="13" t="n">
        <v>800</v>
      </c>
      <c r="K33" t="n">
        <v>80</v>
      </c>
      <c r="L33" t="n">
        <v>15.6</v>
      </c>
      <c r="M33" t="n">
        <v>49866</v>
      </c>
    </row>
    <row r="34">
      <c r="A34" s="14" t="n">
        <v>34</v>
      </c>
      <c r="B34" s="15" t="n">
        <v>32.01995</v>
      </c>
      <c r="C34" s="15" t="n">
        <v>34.86071</v>
      </c>
      <c r="D34" s="14" t="inlineStr">
        <is>
          <t>412</t>
        </is>
      </c>
      <c r="E34" s="14" t="inlineStr">
        <is>
          <t>רגיל</t>
        </is>
      </c>
      <c r="F34" s="14" t="inlineStr">
        <is>
          <t>מרכז (שרון / גוש דן)</t>
        </is>
      </c>
      <c r="G34" s="14" t="n">
        <v>50</v>
      </c>
      <c r="H34" s="16" t="n">
        <v>250000</v>
      </c>
      <c r="I34" s="17" t="n">
        <v>8000</v>
      </c>
      <c r="J34" s="17" t="n">
        <v>800</v>
      </c>
      <c r="K34" s="14" t="n">
        <v>80</v>
      </c>
      <c r="L34" s="14" t="n">
        <v>15.6</v>
      </c>
      <c r="M34" s="14" t="n">
        <v>49846</v>
      </c>
    </row>
    <row r="35">
      <c r="A35" t="n">
        <v>35</v>
      </c>
      <c r="B35" s="12" t="n">
        <v>32.95786</v>
      </c>
      <c r="C35" s="12" t="n">
        <v>35.26536</v>
      </c>
      <c r="D35" t="inlineStr">
        <is>
          <t>854</t>
        </is>
      </c>
      <c r="E35" t="inlineStr">
        <is>
          <t>רגיל</t>
        </is>
      </c>
      <c r="F35" t="inlineStr">
        <is>
          <t>חיפה / כרמל</t>
        </is>
      </c>
      <c r="G35" t="n">
        <v>20</v>
      </c>
      <c r="H35" s="6" t="n">
        <v>150000</v>
      </c>
      <c r="I35" s="13" t="n">
        <v>8000</v>
      </c>
      <c r="J35" s="13" t="n">
        <v>800</v>
      </c>
      <c r="K35" t="n">
        <v>80</v>
      </c>
      <c r="L35" t="n">
        <v>15.6</v>
      </c>
      <c r="M35" t="n">
        <v>15756</v>
      </c>
    </row>
    <row r="36">
      <c r="A36" s="14" t="n">
        <v>36</v>
      </c>
      <c r="B36" s="15" t="n">
        <v>31.69087</v>
      </c>
      <c r="C36" s="15" t="n">
        <v>34.67899</v>
      </c>
      <c r="D36" s="14" t="inlineStr">
        <is>
          <t>3</t>
        </is>
      </c>
      <c r="E36" s="14" t="inlineStr">
        <is>
          <t>רגיל</t>
        </is>
      </c>
      <c r="F36" s="14" t="inlineStr">
        <is>
          <t>ירושלים / שפלה</t>
        </is>
      </c>
      <c r="G36" s="14" t="n">
        <v>50</v>
      </c>
      <c r="H36" s="16" t="n">
        <v>250000</v>
      </c>
      <c r="I36" s="17" t="n">
        <v>30000</v>
      </c>
      <c r="J36" s="17" t="n">
        <v>3000</v>
      </c>
      <c r="K36" s="14" t="n">
        <v>90</v>
      </c>
      <c r="L36" s="14" t="n">
        <v>46.8</v>
      </c>
      <c r="M36" s="14" t="n">
        <v>15658</v>
      </c>
    </row>
    <row r="37">
      <c r="A37" t="n">
        <v>37</v>
      </c>
      <c r="B37" s="12" t="n">
        <v>31.23149</v>
      </c>
      <c r="C37" s="12" t="n">
        <v>34.35037</v>
      </c>
      <c r="D37" t="inlineStr">
        <is>
          <t>232</t>
        </is>
      </c>
      <c r="E37" t="inlineStr">
        <is>
          <t>עוטף עזה</t>
        </is>
      </c>
      <c r="F37" t="inlineStr">
        <is>
          <t>עוטף עזה / הנגב המערבי</t>
        </is>
      </c>
      <c r="G37" t="n">
        <v>12</v>
      </c>
      <c r="H37" s="6" t="n">
        <v>100000</v>
      </c>
      <c r="I37" s="13" t="n">
        <v>7000</v>
      </c>
      <c r="J37" s="13" t="n">
        <v>700</v>
      </c>
      <c r="K37" t="n">
        <v>90</v>
      </c>
      <c r="L37" t="n">
        <v>10.9</v>
      </c>
      <c r="M37" t="inlineStr"/>
    </row>
    <row r="38">
      <c r="A38" s="14" t="n">
        <v>38</v>
      </c>
      <c r="B38" s="15" t="n">
        <v>31.95189</v>
      </c>
      <c r="C38" s="15" t="n">
        <v>34.95546</v>
      </c>
      <c r="D38" s="14" t="inlineStr">
        <is>
          <t>443</t>
        </is>
      </c>
      <c r="E38" s="14" t="inlineStr">
        <is>
          <t>רגיל</t>
        </is>
      </c>
      <c r="F38" s="14" t="inlineStr">
        <is>
          <t>ירושלים / שפלה</t>
        </is>
      </c>
      <c r="G38" s="14" t="n">
        <v>50</v>
      </c>
      <c r="H38" s="16" t="n">
        <v>250000</v>
      </c>
      <c r="I38" s="17" t="n">
        <v>13000</v>
      </c>
      <c r="J38" s="17" t="n">
        <v>1300</v>
      </c>
      <c r="K38" s="14" t="n">
        <v>90</v>
      </c>
      <c r="L38" s="14" t="n">
        <v>25.4</v>
      </c>
      <c r="M38" s="14" t="n">
        <v>49398</v>
      </c>
    </row>
    <row r="39">
      <c r="A39" t="n">
        <v>39</v>
      </c>
      <c r="B39" s="12" t="n">
        <v>31.89262</v>
      </c>
      <c r="C39" s="12" t="n">
        <v>34.96483</v>
      </c>
      <c r="D39" t="inlineStr">
        <is>
          <t>431</t>
        </is>
      </c>
      <c r="E39" t="inlineStr">
        <is>
          <t>רגיל</t>
        </is>
      </c>
      <c r="F39" t="inlineStr">
        <is>
          <t>ירושלים / שפלה</t>
        </is>
      </c>
      <c r="G39" t="n">
        <v>50</v>
      </c>
      <c r="H39" s="6" t="n">
        <v>250000</v>
      </c>
      <c r="I39" s="13" t="n">
        <v>13000</v>
      </c>
      <c r="J39" s="13" t="n">
        <v>1300</v>
      </c>
      <c r="K39" t="n">
        <v>50</v>
      </c>
      <c r="L39" t="n">
        <v>25.3</v>
      </c>
      <c r="M39" t="n">
        <v>49394</v>
      </c>
    </row>
    <row r="40">
      <c r="A40" s="14" t="n">
        <v>40</v>
      </c>
      <c r="B40" s="15" t="n">
        <v>32.90668</v>
      </c>
      <c r="C40" s="15" t="n">
        <v>35.16857</v>
      </c>
      <c r="D40" s="14" t="inlineStr">
        <is>
          <t>70</t>
        </is>
      </c>
      <c r="E40" s="14" t="inlineStr">
        <is>
          <t>רגיל</t>
        </is>
      </c>
      <c r="F40" s="14" t="inlineStr">
        <is>
          <t>חיפה / כרמל</t>
        </is>
      </c>
      <c r="G40" s="14" t="n">
        <v>50</v>
      </c>
      <c r="H40" s="16" t="n">
        <v>250000</v>
      </c>
      <c r="I40" s="17" t="n">
        <v>20000</v>
      </c>
      <c r="J40" s="17" t="n">
        <v>2000</v>
      </c>
      <c r="K40" s="14" t="n">
        <v>90</v>
      </c>
      <c r="L40" s="14" t="n">
        <v>39</v>
      </c>
      <c r="M40" s="14" t="n">
        <v>16845</v>
      </c>
    </row>
    <row r="41">
      <c r="A41" t="n">
        <v>41</v>
      </c>
      <c r="B41" s="12" t="n">
        <v>32.1214</v>
      </c>
      <c r="C41" s="12" t="n">
        <v>34.88804</v>
      </c>
      <c r="D41" t="inlineStr">
        <is>
          <t>חוצה שומרון</t>
        </is>
      </c>
      <c r="E41" t="inlineStr">
        <is>
          <t>רגיל</t>
        </is>
      </c>
      <c r="F41" t="inlineStr">
        <is>
          <t>מרכז (שרון / גוש דן)</t>
        </is>
      </c>
      <c r="G41" t="n">
        <v>50</v>
      </c>
      <c r="H41" s="6" t="n">
        <v>250000</v>
      </c>
      <c r="I41" s="13" t="n">
        <v>8000</v>
      </c>
      <c r="J41" s="13" t="n">
        <v>800</v>
      </c>
      <c r="K41" t="n">
        <v>100</v>
      </c>
      <c r="L41" t="n">
        <v>15.6</v>
      </c>
      <c r="M41" t="n">
        <v>49150</v>
      </c>
    </row>
    <row r="42">
      <c r="A42" s="14" t="n">
        <v>42</v>
      </c>
      <c r="B42" s="15" t="n">
        <v>31.70112</v>
      </c>
      <c r="C42" s="15" t="n">
        <v>34.7106</v>
      </c>
      <c r="D42" s="14" t="inlineStr">
        <is>
          <t>3</t>
        </is>
      </c>
      <c r="E42" s="14" t="inlineStr">
        <is>
          <t>רגיל</t>
        </is>
      </c>
      <c r="F42" s="14" t="inlineStr">
        <is>
          <t>ירושלים / שפלה</t>
        </is>
      </c>
      <c r="G42" s="14" t="n">
        <v>50</v>
      </c>
      <c r="H42" s="16" t="n">
        <v>250000</v>
      </c>
      <c r="I42" s="17" t="n">
        <v>30000</v>
      </c>
      <c r="J42" s="17" t="n">
        <v>3000</v>
      </c>
      <c r="K42" s="14" t="n">
        <v>90</v>
      </c>
      <c r="L42" s="14" t="n">
        <v>58.5</v>
      </c>
      <c r="M42" s="14" t="n">
        <v>18705</v>
      </c>
    </row>
    <row r="43">
      <c r="A43" t="n">
        <v>43</v>
      </c>
      <c r="B43" s="12" t="n">
        <v>31.62693</v>
      </c>
      <c r="C43" s="12" t="n">
        <v>34.58517</v>
      </c>
      <c r="D43" t="inlineStr">
        <is>
          <t>4</t>
        </is>
      </c>
      <c r="E43" t="inlineStr">
        <is>
          <t>רגיל</t>
        </is>
      </c>
      <c r="F43" t="inlineStr">
        <is>
          <t>ירושלים / שפלה</t>
        </is>
      </c>
      <c r="G43" t="n">
        <v>50</v>
      </c>
      <c r="H43" s="6" t="n">
        <v>250000</v>
      </c>
      <c r="I43" s="13" t="n">
        <v>40000</v>
      </c>
      <c r="J43" s="13" t="n">
        <v>4000</v>
      </c>
      <c r="K43" t="n">
        <v>90</v>
      </c>
      <c r="L43" t="n">
        <v>62.4</v>
      </c>
      <c r="M43" t="n">
        <v>3157</v>
      </c>
    </row>
    <row r="44">
      <c r="A44" s="14" t="n">
        <v>45</v>
      </c>
      <c r="B44" s="15" t="n">
        <v>31.31579</v>
      </c>
      <c r="C44" s="15" t="n">
        <v>34.52636</v>
      </c>
      <c r="D44" s="14" t="inlineStr">
        <is>
          <t>234</t>
        </is>
      </c>
      <c r="E44" s="14" t="inlineStr">
        <is>
          <t>עוטף עזה</t>
        </is>
      </c>
      <c r="F44" s="14" t="inlineStr">
        <is>
          <t>עוטף עזה / הנגב המערבי</t>
        </is>
      </c>
      <c r="G44" s="14" t="n">
        <v>20</v>
      </c>
      <c r="H44" s="16" t="n">
        <v>150000</v>
      </c>
      <c r="I44" s="17" t="n">
        <v>8000</v>
      </c>
      <c r="J44" s="17" t="n">
        <v>800</v>
      </c>
      <c r="K44" s="14" t="n">
        <v>80</v>
      </c>
      <c r="L44" s="14" t="n">
        <v>12.5</v>
      </c>
      <c r="M44" s="14" t="n">
        <v>109</v>
      </c>
    </row>
    <row r="45">
      <c r="A45" t="n">
        <v>46</v>
      </c>
      <c r="B45" s="12" t="n">
        <v>32.06529</v>
      </c>
      <c r="C45" s="12" t="n">
        <v>34.84479</v>
      </c>
      <c r="D45" t="inlineStr">
        <is>
          <t>כביש מכבית</t>
        </is>
      </c>
      <c r="E45" t="inlineStr">
        <is>
          <t>רגיל</t>
        </is>
      </c>
      <c r="F45" t="inlineStr">
        <is>
          <t>מרכז (שרון / גוש דן)</t>
        </is>
      </c>
      <c r="G45" t="n">
        <v>50</v>
      </c>
      <c r="H45" s="6" t="n">
        <v>250000</v>
      </c>
      <c r="I45" s="13" t="n">
        <v>8000</v>
      </c>
      <c r="J45" s="13" t="n">
        <v>800</v>
      </c>
      <c r="K45" t="n">
        <v>100</v>
      </c>
      <c r="L45" t="n">
        <v>15.6</v>
      </c>
      <c r="M45" t="n">
        <v>48224</v>
      </c>
    </row>
    <row r="46">
      <c r="A46" s="14" t="n">
        <v>47</v>
      </c>
      <c r="B46" s="15" t="n">
        <v>31.76356</v>
      </c>
      <c r="C46" s="15" t="n">
        <v>34.82792</v>
      </c>
      <c r="D46" s="14" t="inlineStr">
        <is>
          <t>כביש חוצה ישראל</t>
        </is>
      </c>
      <c r="E46" s="14" t="inlineStr">
        <is>
          <t>רגיל</t>
        </is>
      </c>
      <c r="F46" s="14" t="inlineStr">
        <is>
          <t>ירושלים / שפלה</t>
        </is>
      </c>
      <c r="G46" s="14" t="n">
        <v>30</v>
      </c>
      <c r="H46" s="16" t="n">
        <v>200000</v>
      </c>
      <c r="I46" s="17" t="n">
        <v>8000</v>
      </c>
      <c r="J46" s="17" t="n">
        <v>800</v>
      </c>
      <c r="K46" s="14" t="n">
        <v>110</v>
      </c>
      <c r="L46" s="14" t="n">
        <v>15.6</v>
      </c>
      <c r="M46" s="14" t="n">
        <v>31956</v>
      </c>
    </row>
    <row r="47">
      <c r="A47" t="n">
        <v>48</v>
      </c>
      <c r="B47" s="12" t="n">
        <v>31.82874</v>
      </c>
      <c r="C47" s="12" t="n">
        <v>34.6686</v>
      </c>
      <c r="D47" t="inlineStr">
        <is>
          <t>41</t>
        </is>
      </c>
      <c r="E47" t="inlineStr">
        <is>
          <t>רגיל</t>
        </is>
      </c>
      <c r="F47" t="inlineStr">
        <is>
          <t>ירושלים / שפלה</t>
        </is>
      </c>
      <c r="G47" t="n">
        <v>30</v>
      </c>
      <c r="H47" s="6" t="n">
        <v>200000</v>
      </c>
      <c r="I47" s="13" t="n">
        <v>8000</v>
      </c>
      <c r="J47" s="13" t="n">
        <v>800</v>
      </c>
      <c r="K47" t="n">
        <v>90</v>
      </c>
      <c r="L47" t="n">
        <v>15.6</v>
      </c>
      <c r="M47" t="n">
        <v>25000</v>
      </c>
    </row>
    <row r="48">
      <c r="A48" s="14" t="n">
        <v>49</v>
      </c>
      <c r="B48" s="15" t="n">
        <v>32.15547</v>
      </c>
      <c r="C48" s="15" t="n">
        <v>34.93688</v>
      </c>
      <c r="D48" s="14" t="inlineStr">
        <is>
          <t>531</t>
        </is>
      </c>
      <c r="E48" s="14" t="inlineStr">
        <is>
          <t>רגיל</t>
        </is>
      </c>
      <c r="F48" s="14" t="inlineStr">
        <is>
          <t>מרכז (שרון / גוש דן)</t>
        </is>
      </c>
      <c r="G48" s="14" t="n">
        <v>50</v>
      </c>
      <c r="H48" s="16" t="n">
        <v>250000</v>
      </c>
      <c r="I48" s="17" t="n">
        <v>8000</v>
      </c>
      <c r="J48" s="17" t="n">
        <v>800</v>
      </c>
      <c r="K48" s="14" t="n">
        <v>100</v>
      </c>
      <c r="L48" s="14" t="n">
        <v>15.6</v>
      </c>
      <c r="M48" s="14" t="n">
        <v>47623</v>
      </c>
    </row>
    <row r="49">
      <c r="A49" t="n">
        <v>50</v>
      </c>
      <c r="B49" s="12" t="n">
        <v>32.91307</v>
      </c>
      <c r="C49" s="12" t="n">
        <v>35.09619</v>
      </c>
      <c r="D49" t="inlineStr">
        <is>
          <t>עוקף עכו</t>
        </is>
      </c>
      <c r="E49" t="inlineStr">
        <is>
          <t>רגיל</t>
        </is>
      </c>
      <c r="F49" t="inlineStr">
        <is>
          <t>חיפה / כרמל</t>
        </is>
      </c>
      <c r="G49" t="n">
        <v>20</v>
      </c>
      <c r="H49" s="6" t="n">
        <v>150000</v>
      </c>
      <c r="I49" s="13" t="n">
        <v>8000</v>
      </c>
      <c r="J49" s="13" t="n">
        <v>800</v>
      </c>
      <c r="K49" t="n">
        <v>90</v>
      </c>
      <c r="L49" t="n">
        <v>15.6</v>
      </c>
      <c r="M49" t="n">
        <v>11993</v>
      </c>
    </row>
    <row r="50">
      <c r="A50" s="14" t="n">
        <v>51</v>
      </c>
      <c r="B50" s="15" t="n">
        <v>33.01828</v>
      </c>
      <c r="C50" s="15" t="n">
        <v>35.33984</v>
      </c>
      <c r="D50" s="14" t="inlineStr">
        <is>
          <t>89</t>
        </is>
      </c>
      <c r="E50" s="14" t="inlineStr">
        <is>
          <t>רגיל</t>
        </is>
      </c>
      <c r="F50" s="14" t="inlineStr">
        <is>
          <t>צפון (גליל / גבול לבנון)</t>
        </is>
      </c>
      <c r="G50" s="14" t="n">
        <v>20</v>
      </c>
      <c r="H50" s="16" t="n">
        <v>150000</v>
      </c>
      <c r="I50" s="17" t="n">
        <v>9000</v>
      </c>
      <c r="J50" s="17" t="n">
        <v>900</v>
      </c>
      <c r="K50" s="14" t="n">
        <v>50</v>
      </c>
      <c r="L50" s="14" t="n">
        <v>14</v>
      </c>
      <c r="M50" s="14" t="n">
        <v>9934</v>
      </c>
    </row>
    <row r="51">
      <c r="A51" t="n">
        <v>52</v>
      </c>
      <c r="B51" s="12" t="n">
        <v>31.44527</v>
      </c>
      <c r="C51" s="12" t="n">
        <v>34.57219</v>
      </c>
      <c r="D51" t="inlineStr">
        <is>
          <t>25</t>
        </is>
      </c>
      <c r="E51" t="inlineStr">
        <is>
          <t>עוטף עזה</t>
        </is>
      </c>
      <c r="F51" t="inlineStr">
        <is>
          <t>עוטף עזה / הנגב המערבי</t>
        </is>
      </c>
      <c r="G51" t="n">
        <v>12</v>
      </c>
      <c r="H51" s="6" t="n">
        <v>100000</v>
      </c>
      <c r="I51" s="13" t="n">
        <v>7000</v>
      </c>
      <c r="J51" s="13" t="n">
        <v>700</v>
      </c>
      <c r="K51" t="n">
        <v>80</v>
      </c>
      <c r="L51" t="n">
        <v>10.9</v>
      </c>
      <c r="M51" t="n">
        <v>620</v>
      </c>
    </row>
    <row r="52">
      <c r="A52" s="14" t="n">
        <v>53</v>
      </c>
      <c r="B52" s="15" t="n">
        <v>31.50966</v>
      </c>
      <c r="C52" s="15" t="n">
        <v>34.58588</v>
      </c>
      <c r="D52" s="14" t="inlineStr">
        <is>
          <t>34</t>
        </is>
      </c>
      <c r="E52" s="14" t="inlineStr">
        <is>
          <t>עוטף עזה</t>
        </is>
      </c>
      <c r="F52" s="14" t="inlineStr">
        <is>
          <t>עוטף עזה / הנגב המערבי</t>
        </is>
      </c>
      <c r="G52" s="14" t="n">
        <v>20</v>
      </c>
      <c r="H52" s="16" t="n">
        <v>150000</v>
      </c>
      <c r="I52" s="17" t="n">
        <v>8500</v>
      </c>
      <c r="J52" s="17" t="n">
        <v>850</v>
      </c>
      <c r="K52" s="14" t="n">
        <v>90</v>
      </c>
      <c r="L52" s="14" t="n">
        <v>13.3</v>
      </c>
      <c r="M52" s="14" t="n">
        <v>1082</v>
      </c>
    </row>
    <row r="53">
      <c r="A53" t="n">
        <v>54</v>
      </c>
      <c r="B53" s="12" t="n">
        <v>33.1114</v>
      </c>
      <c r="C53" s="12" t="n">
        <v>35.57259</v>
      </c>
      <c r="D53" t="inlineStr">
        <is>
          <t>90</t>
        </is>
      </c>
      <c r="E53" t="inlineStr">
        <is>
          <t>צפון</t>
        </is>
      </c>
      <c r="F53" t="inlineStr">
        <is>
          <t>צפון (גליל / גבול לבנון)</t>
        </is>
      </c>
      <c r="G53" t="n">
        <v>20</v>
      </c>
      <c r="H53" s="6" t="n">
        <v>150000</v>
      </c>
      <c r="I53" s="13" t="n">
        <v>9000</v>
      </c>
      <c r="J53" s="13" t="n">
        <v>900</v>
      </c>
      <c r="K53" t="n">
        <v>90</v>
      </c>
      <c r="L53" t="n">
        <v>14</v>
      </c>
      <c r="M53" t="n">
        <v>7954</v>
      </c>
    </row>
    <row r="54">
      <c r="A54" s="14" t="n">
        <v>55</v>
      </c>
      <c r="B54" s="15" t="n">
        <v>32.91472</v>
      </c>
      <c r="C54" s="15" t="n">
        <v>35.22629</v>
      </c>
      <c r="D54" s="14" t="inlineStr">
        <is>
          <t>85</t>
        </is>
      </c>
      <c r="E54" s="14" t="inlineStr">
        <is>
          <t>רגיל</t>
        </is>
      </c>
      <c r="F54" s="14" t="inlineStr">
        <is>
          <t>חיפה / כרמל</t>
        </is>
      </c>
      <c r="G54" s="14" t="n">
        <v>30</v>
      </c>
      <c r="H54" s="16" t="n">
        <v>200000</v>
      </c>
      <c r="I54" s="17" t="n">
        <v>15000</v>
      </c>
      <c r="J54" s="17" t="n">
        <v>1500</v>
      </c>
      <c r="K54" s="14" t="n">
        <v>90</v>
      </c>
      <c r="L54" s="14" t="n">
        <v>29.2</v>
      </c>
      <c r="M54" s="14" t="n">
        <v>15064</v>
      </c>
    </row>
    <row r="55">
      <c r="A55" t="n">
        <v>56</v>
      </c>
      <c r="B55" s="12" t="n">
        <v>32.87698</v>
      </c>
      <c r="C55" s="12" t="n">
        <v>35.17761</v>
      </c>
      <c r="D55" t="inlineStr">
        <is>
          <t>70</t>
        </is>
      </c>
      <c r="E55" t="inlineStr">
        <is>
          <t>רגיל</t>
        </is>
      </c>
      <c r="F55" t="inlineStr">
        <is>
          <t>חיפה / כרמל</t>
        </is>
      </c>
      <c r="G55" t="n">
        <v>50</v>
      </c>
      <c r="H55" s="6" t="n">
        <v>250000</v>
      </c>
      <c r="I55" s="13" t="n">
        <v>20000</v>
      </c>
      <c r="J55" s="13" t="n">
        <v>2000</v>
      </c>
      <c r="K55" t="n">
        <v>90</v>
      </c>
      <c r="L55" t="n">
        <v>39</v>
      </c>
      <c r="M55" t="n">
        <v>16799</v>
      </c>
    </row>
    <row r="56">
      <c r="A56" s="14" t="n">
        <v>57</v>
      </c>
      <c r="B56" s="15" t="n">
        <v>32.12648</v>
      </c>
      <c r="C56" s="15" t="n">
        <v>34.85975</v>
      </c>
      <c r="D56" s="14" t="inlineStr">
        <is>
          <t>כביש גהה</t>
        </is>
      </c>
      <c r="E56" s="14" t="inlineStr">
        <is>
          <t>רגיל</t>
        </is>
      </c>
      <c r="F56" s="14" t="inlineStr">
        <is>
          <t>מרכז (שרון / גוש דן)</t>
        </is>
      </c>
      <c r="G56" s="14" t="n">
        <v>50</v>
      </c>
      <c r="H56" s="16" t="n">
        <v>250000</v>
      </c>
      <c r="I56" s="17" t="n">
        <v>18000</v>
      </c>
      <c r="J56" s="17" t="n">
        <v>1800</v>
      </c>
      <c r="K56" s="14" t="n">
        <v>90</v>
      </c>
      <c r="L56" s="14" t="n">
        <v>35.1</v>
      </c>
      <c r="M56" s="14" t="n">
        <v>45642</v>
      </c>
    </row>
    <row r="57">
      <c r="A57" t="n">
        <v>58</v>
      </c>
      <c r="B57" s="12" t="n">
        <v>31.47034</v>
      </c>
      <c r="C57" s="12" t="n">
        <v>34.59295</v>
      </c>
      <c r="D57" t="inlineStr">
        <is>
          <t>34</t>
        </is>
      </c>
      <c r="E57" t="inlineStr">
        <is>
          <t>עוטף עזה</t>
        </is>
      </c>
      <c r="F57" t="inlineStr">
        <is>
          <t>עוטף עזה / הנגב המערבי</t>
        </is>
      </c>
      <c r="G57" t="n">
        <v>20</v>
      </c>
      <c r="H57" s="6" t="n">
        <v>150000</v>
      </c>
      <c r="I57" s="13" t="n">
        <v>8500</v>
      </c>
      <c r="J57" s="13" t="n">
        <v>850</v>
      </c>
      <c r="K57" t="n">
        <v>90</v>
      </c>
      <c r="L57" t="n">
        <v>13.3</v>
      </c>
      <c r="M57" t="n">
        <v>620</v>
      </c>
    </row>
    <row r="58">
      <c r="A58" s="14" t="n">
        <v>59</v>
      </c>
      <c r="B58" s="15" t="n">
        <v>32.97527</v>
      </c>
      <c r="C58" s="15" t="n">
        <v>35.33861</v>
      </c>
      <c r="D58" s="14" t="inlineStr">
        <is>
          <t>864</t>
        </is>
      </c>
      <c r="E58" s="14" t="inlineStr">
        <is>
          <t>רגיל</t>
        </is>
      </c>
      <c r="F58" s="14" t="inlineStr">
        <is>
          <t>חיפה / כרמל</t>
        </is>
      </c>
      <c r="G58" s="14" t="n">
        <v>20</v>
      </c>
      <c r="H58" s="16" t="n">
        <v>150000</v>
      </c>
      <c r="I58" s="17" t="n">
        <v>8000</v>
      </c>
      <c r="J58" s="17" t="n">
        <v>800</v>
      </c>
      <c r="K58" s="14" t="n">
        <v>80</v>
      </c>
      <c r="L58" s="14" t="n">
        <v>15.6</v>
      </c>
      <c r="M58" s="14" t="n">
        <v>12417</v>
      </c>
    </row>
    <row r="59">
      <c r="A59" t="n">
        <v>60</v>
      </c>
      <c r="B59" s="12" t="n">
        <v>31.22312</v>
      </c>
      <c r="C59" s="12" t="n">
        <v>34.50872</v>
      </c>
      <c r="D59" t="inlineStr">
        <is>
          <t>222</t>
        </is>
      </c>
      <c r="E59" t="inlineStr">
        <is>
          <t>עוטף עזה</t>
        </is>
      </c>
      <c r="F59" t="inlineStr">
        <is>
          <t>עוטף עזה / הנגב המערבי</t>
        </is>
      </c>
      <c r="G59" t="n">
        <v>20</v>
      </c>
      <c r="H59" s="6" t="n">
        <v>150000</v>
      </c>
      <c r="I59" s="13" t="n">
        <v>8000</v>
      </c>
      <c r="J59" s="13" t="n">
        <v>800</v>
      </c>
      <c r="K59" t="n">
        <v>80</v>
      </c>
      <c r="L59" t="n">
        <v>12.5</v>
      </c>
      <c r="M59" t="inlineStr"/>
    </row>
    <row r="60">
      <c r="A60" s="14" t="n">
        <v>61</v>
      </c>
      <c r="B60" s="15" t="n">
        <v>31.53523</v>
      </c>
      <c r="C60" s="15" t="n">
        <v>34.61384</v>
      </c>
      <c r="D60" s="14" t="inlineStr">
        <is>
          <t>232</t>
        </is>
      </c>
      <c r="E60" s="14" t="inlineStr">
        <is>
          <t>עוטף עזה</t>
        </is>
      </c>
      <c r="F60" s="14" t="inlineStr">
        <is>
          <t>עוטף עזה / הנגב המערבי</t>
        </is>
      </c>
      <c r="G60" s="14" t="n">
        <v>12</v>
      </c>
      <c r="H60" s="16" t="n">
        <v>100000</v>
      </c>
      <c r="I60" s="17" t="n">
        <v>7000</v>
      </c>
      <c r="J60" s="17" t="n">
        <v>700</v>
      </c>
      <c r="K60" s="14" t="n">
        <v>80</v>
      </c>
      <c r="L60" s="14" t="n">
        <v>10.9</v>
      </c>
      <c r="M60" s="14" t="n">
        <v>1562</v>
      </c>
    </row>
    <row r="61">
      <c r="A61" t="n">
        <v>62</v>
      </c>
      <c r="B61" s="12" t="n">
        <v>31.9486</v>
      </c>
      <c r="C61" s="12" t="n">
        <v>34.80306</v>
      </c>
      <c r="D61" t="inlineStr">
        <is>
          <t>431</t>
        </is>
      </c>
      <c r="E61" t="inlineStr">
        <is>
          <t>רגיל</t>
        </is>
      </c>
      <c r="F61" t="inlineStr">
        <is>
          <t>ירושלים / שפלה</t>
        </is>
      </c>
      <c r="G61" t="n">
        <v>50</v>
      </c>
      <c r="H61" s="6" t="n">
        <v>250000</v>
      </c>
      <c r="I61" s="13" t="n">
        <v>8000</v>
      </c>
      <c r="J61" s="13" t="n">
        <v>800</v>
      </c>
      <c r="K61" t="n">
        <v>100</v>
      </c>
      <c r="L61" t="n">
        <v>15.6</v>
      </c>
      <c r="M61" t="n">
        <v>41374</v>
      </c>
    </row>
    <row r="62">
      <c r="A62" s="14" t="n">
        <v>63</v>
      </c>
      <c r="B62" s="15" t="n">
        <v>33.0261</v>
      </c>
      <c r="C62" s="15" t="n">
        <v>35.40521</v>
      </c>
      <c r="D62" s="14" t="inlineStr">
        <is>
          <t>89</t>
        </is>
      </c>
      <c r="E62" s="14" t="inlineStr">
        <is>
          <t>רגיל</t>
        </is>
      </c>
      <c r="F62" s="14" t="inlineStr">
        <is>
          <t>צפון (גליל / גבול לבנון)</t>
        </is>
      </c>
      <c r="G62" s="14" t="n">
        <v>20</v>
      </c>
      <c r="H62" s="16" t="n">
        <v>150000</v>
      </c>
      <c r="I62" s="17" t="n">
        <v>9000</v>
      </c>
      <c r="J62" s="17" t="n">
        <v>900</v>
      </c>
      <c r="K62" s="14" t="n">
        <v>60</v>
      </c>
      <c r="L62" s="14" t="n">
        <v>14</v>
      </c>
      <c r="M62" s="14" t="n">
        <v>8054</v>
      </c>
    </row>
    <row r="63">
      <c r="A63" t="n">
        <v>64</v>
      </c>
      <c r="B63" s="12" t="n">
        <v>33.04499</v>
      </c>
      <c r="C63" s="12" t="n">
        <v>35.4276</v>
      </c>
      <c r="D63" t="inlineStr">
        <is>
          <t>899</t>
        </is>
      </c>
      <c r="E63" t="inlineStr">
        <is>
          <t>רגיל</t>
        </is>
      </c>
      <c r="F63" t="inlineStr">
        <is>
          <t>צפון (גליל / גבול לבנון)</t>
        </is>
      </c>
      <c r="G63" t="n">
        <v>6</v>
      </c>
      <c r="H63" s="6" t="n">
        <v>73000</v>
      </c>
      <c r="I63" s="13" t="n">
        <v>3500</v>
      </c>
      <c r="J63" s="13" t="n">
        <v>350</v>
      </c>
      <c r="K63" t="n">
        <v>80</v>
      </c>
      <c r="L63" t="n">
        <v>5.5</v>
      </c>
      <c r="M63" t="n">
        <v>6933</v>
      </c>
    </row>
    <row r="64">
      <c r="A64" s="14" t="n">
        <v>65</v>
      </c>
      <c r="B64" s="15" t="n">
        <v>31.42469</v>
      </c>
      <c r="C64" s="15" t="n">
        <v>34.60171</v>
      </c>
      <c r="D64" s="14" t="inlineStr">
        <is>
          <t>25</t>
        </is>
      </c>
      <c r="E64" s="14" t="inlineStr">
        <is>
          <t>עוטף עזה</t>
        </is>
      </c>
      <c r="F64" s="14" t="inlineStr">
        <is>
          <t>עוטף עזה / הנגב המערבי</t>
        </is>
      </c>
      <c r="G64" s="14" t="n">
        <v>12</v>
      </c>
      <c r="H64" s="16" t="n">
        <v>100000</v>
      </c>
      <c r="I64" s="17" t="n">
        <v>7000</v>
      </c>
      <c r="J64" s="17" t="n">
        <v>700</v>
      </c>
      <c r="K64" s="14" t="n">
        <v>90</v>
      </c>
      <c r="L64" s="14" t="n">
        <v>10.9</v>
      </c>
      <c r="M64" s="14" t="n">
        <v>211</v>
      </c>
    </row>
    <row r="65">
      <c r="A65" t="n">
        <v>66</v>
      </c>
      <c r="B65" s="12" t="n">
        <v>31.653</v>
      </c>
      <c r="C65" s="12" t="n">
        <v>34.66405</v>
      </c>
      <c r="D65" t="inlineStr">
        <is>
          <t>35</t>
        </is>
      </c>
      <c r="E65" t="inlineStr">
        <is>
          <t>רגיל</t>
        </is>
      </c>
      <c r="F65" t="inlineStr">
        <is>
          <t>ירושלים / שפלה</t>
        </is>
      </c>
      <c r="G65" t="n">
        <v>20</v>
      </c>
      <c r="H65" s="6" t="n">
        <v>150000</v>
      </c>
      <c r="I65" s="13" t="n">
        <v>11000</v>
      </c>
      <c r="J65" s="13" t="n">
        <v>1100</v>
      </c>
      <c r="K65" t="n">
        <v>90</v>
      </c>
      <c r="L65" t="n">
        <v>17.2</v>
      </c>
      <c r="M65" t="n">
        <v>6017</v>
      </c>
    </row>
    <row r="66">
      <c r="A66" s="14" t="n">
        <v>67</v>
      </c>
      <c r="B66" s="15" t="n">
        <v>31.20849</v>
      </c>
      <c r="C66" s="15" t="n">
        <v>34.2876</v>
      </c>
      <c r="D66" s="14" t="inlineStr">
        <is>
          <t>232</t>
        </is>
      </c>
      <c r="E66" s="14" t="inlineStr">
        <is>
          <t>עוטף עזה</t>
        </is>
      </c>
      <c r="F66" s="14" t="inlineStr">
        <is>
          <t>עוטף עזה / הנגב המערבי</t>
        </is>
      </c>
      <c r="G66" s="14" t="n">
        <v>12</v>
      </c>
      <c r="H66" s="16" t="n">
        <v>100000</v>
      </c>
      <c r="I66" s="17" t="n">
        <v>7000</v>
      </c>
      <c r="J66" s="17" t="n">
        <v>700</v>
      </c>
      <c r="K66" s="14" t="n">
        <v>80</v>
      </c>
      <c r="L66" s="14" t="n">
        <v>10.9</v>
      </c>
      <c r="M66" s="14" t="inlineStr"/>
    </row>
    <row r="67">
      <c r="A67" t="n">
        <v>68</v>
      </c>
      <c r="B67" s="12" t="n">
        <v>33.07267</v>
      </c>
      <c r="C67" s="12" t="n">
        <v>35.5303</v>
      </c>
      <c r="D67" t="inlineStr">
        <is>
          <t>886</t>
        </is>
      </c>
      <c r="E67" t="inlineStr">
        <is>
          <t>צפון</t>
        </is>
      </c>
      <c r="F67" t="inlineStr">
        <is>
          <t>צפון (גליל / גבול לבנון)</t>
        </is>
      </c>
      <c r="G67" t="n">
        <v>20</v>
      </c>
      <c r="H67" s="6" t="n">
        <v>150000</v>
      </c>
      <c r="I67" s="13" t="n">
        <v>8000</v>
      </c>
      <c r="J67" s="13" t="n">
        <v>800</v>
      </c>
      <c r="K67" t="n">
        <v>60</v>
      </c>
      <c r="L67" t="n">
        <v>12.5</v>
      </c>
      <c r="M67" t="n">
        <v>7109</v>
      </c>
    </row>
    <row r="68">
      <c r="A68" s="14" t="n">
        <v>69</v>
      </c>
      <c r="B68" s="15" t="n">
        <v>32.92466</v>
      </c>
      <c r="C68" s="15" t="n">
        <v>35.29901</v>
      </c>
      <c r="D68" s="14" t="inlineStr">
        <is>
          <t>85</t>
        </is>
      </c>
      <c r="E68" s="14" t="inlineStr">
        <is>
          <t>רגיל</t>
        </is>
      </c>
      <c r="F68" s="14" t="inlineStr">
        <is>
          <t>חיפה / כרמל</t>
        </is>
      </c>
      <c r="G68" s="14" t="n">
        <v>20</v>
      </c>
      <c r="H68" s="16" t="n">
        <v>150000</v>
      </c>
      <c r="I68" s="17" t="n">
        <v>8000</v>
      </c>
      <c r="J68" s="17" t="n">
        <v>800</v>
      </c>
      <c r="K68" s="14" t="n">
        <v>80</v>
      </c>
      <c r="L68" s="14" t="n">
        <v>15.6</v>
      </c>
      <c r="M68" s="14" t="n">
        <v>13536</v>
      </c>
    </row>
    <row r="69">
      <c r="A69" t="n">
        <v>70</v>
      </c>
      <c r="B69" s="12" t="n">
        <v>32.90828</v>
      </c>
      <c r="C69" s="12" t="n">
        <v>35.27578</v>
      </c>
      <c r="D69" t="inlineStr">
        <is>
          <t>784</t>
        </is>
      </c>
      <c r="E69" t="inlineStr">
        <is>
          <t>רגיל</t>
        </is>
      </c>
      <c r="F69" t="inlineStr">
        <is>
          <t>חיפה / כרמל</t>
        </is>
      </c>
      <c r="G69" t="n">
        <v>20</v>
      </c>
      <c r="H69" s="6" t="n">
        <v>150000</v>
      </c>
      <c r="I69" s="13" t="n">
        <v>8000</v>
      </c>
      <c r="J69" s="13" t="n">
        <v>800</v>
      </c>
      <c r="K69" t="n">
        <v>80</v>
      </c>
      <c r="L69" t="n">
        <v>15.6</v>
      </c>
      <c r="M69" t="n">
        <v>13370</v>
      </c>
    </row>
    <row r="70">
      <c r="A70" s="14" t="n">
        <v>71</v>
      </c>
      <c r="B70" s="15" t="n">
        <v>31.82584</v>
      </c>
      <c r="C70" s="15" t="n">
        <v>34.95814</v>
      </c>
      <c r="D70" s="14" t="inlineStr">
        <is>
          <t>3</t>
        </is>
      </c>
      <c r="E70" s="14" t="inlineStr">
        <is>
          <t>רגיל</t>
        </is>
      </c>
      <c r="F70" s="14" t="inlineStr">
        <is>
          <t>ירושלים / שפלה</t>
        </is>
      </c>
      <c r="G70" s="14" t="n">
        <v>50</v>
      </c>
      <c r="H70" s="16" t="n">
        <v>250000</v>
      </c>
      <c r="I70" s="17" t="n">
        <v>30000</v>
      </c>
      <c r="J70" s="17" t="n">
        <v>3000</v>
      </c>
      <c r="K70" s="14" t="n">
        <v>90</v>
      </c>
      <c r="L70" s="14" t="n">
        <v>58.5</v>
      </c>
      <c r="M70" s="14" t="n">
        <v>40881</v>
      </c>
    </row>
    <row r="71">
      <c r="A71" t="n">
        <v>72</v>
      </c>
      <c r="B71" s="12" t="n">
        <v>32.19266</v>
      </c>
      <c r="C71" s="12" t="n">
        <v>34.90919</v>
      </c>
      <c r="D71" t="inlineStr">
        <is>
          <t>554</t>
        </is>
      </c>
      <c r="E71" t="inlineStr">
        <is>
          <t>רגיל</t>
        </is>
      </c>
      <c r="F71" t="inlineStr">
        <is>
          <t>מרכז (שרון / גוש דן)</t>
        </is>
      </c>
      <c r="G71" t="n">
        <v>50</v>
      </c>
      <c r="H71" s="6" t="n">
        <v>250000</v>
      </c>
      <c r="I71" s="13" t="n">
        <v>8000</v>
      </c>
      <c r="J71" s="13" t="n">
        <v>800</v>
      </c>
      <c r="K71" t="n">
        <v>80</v>
      </c>
      <c r="L71" t="n">
        <v>15.6</v>
      </c>
      <c r="M71" t="n">
        <v>41453</v>
      </c>
    </row>
    <row r="72">
      <c r="A72" s="14" t="n">
        <v>73</v>
      </c>
      <c r="B72" s="15" t="n">
        <v>31.31762</v>
      </c>
      <c r="C72" s="15" t="n">
        <v>34.60265</v>
      </c>
      <c r="D72" s="14" t="inlineStr">
        <is>
          <t>241</t>
        </is>
      </c>
      <c r="E72" s="14" t="inlineStr">
        <is>
          <t>עוטף עזה</t>
        </is>
      </c>
      <c r="F72" s="14" t="inlineStr">
        <is>
          <t>עוטף עזה / הנגב המערבי</t>
        </is>
      </c>
      <c r="G72" s="14" t="n">
        <v>20</v>
      </c>
      <c r="H72" s="16" t="n">
        <v>150000</v>
      </c>
      <c r="I72" s="17" t="n">
        <v>8000</v>
      </c>
      <c r="J72" s="17" t="n">
        <v>800</v>
      </c>
      <c r="K72" s="14" t="n">
        <v>80</v>
      </c>
      <c r="L72" s="14" t="n">
        <v>12.5</v>
      </c>
      <c r="M72" s="14" t="inlineStr"/>
    </row>
    <row r="73">
      <c r="A73" t="n">
        <v>74</v>
      </c>
      <c r="B73" s="12" t="n">
        <v>31.99043</v>
      </c>
      <c r="C73" s="12" t="n">
        <v>34.79803</v>
      </c>
      <c r="D73" t="inlineStr">
        <is>
          <t>4</t>
        </is>
      </c>
      <c r="E73" t="inlineStr">
        <is>
          <t>רגיל</t>
        </is>
      </c>
      <c r="F73" t="inlineStr">
        <is>
          <t>ירושלים / שפלה</t>
        </is>
      </c>
      <c r="G73" t="n">
        <v>50</v>
      </c>
      <c r="H73" s="6" t="n">
        <v>250000</v>
      </c>
      <c r="I73" s="13" t="n">
        <v>40000</v>
      </c>
      <c r="J73" s="13" t="n">
        <v>4000</v>
      </c>
      <c r="K73" t="n">
        <v>100</v>
      </c>
      <c r="L73" t="n">
        <v>78</v>
      </c>
      <c r="M73" t="n">
        <v>41043</v>
      </c>
    </row>
    <row r="74">
      <c r="A74" s="14" t="n">
        <v>75</v>
      </c>
      <c r="B74" s="15" t="n">
        <v>31.74875</v>
      </c>
      <c r="C74" s="15" t="n">
        <v>34.88079</v>
      </c>
      <c r="D74" s="14" t="inlineStr">
        <is>
          <t>383</t>
        </is>
      </c>
      <c r="E74" s="14" t="inlineStr">
        <is>
          <t>רגיל</t>
        </is>
      </c>
      <c r="F74" s="14" t="inlineStr">
        <is>
          <t>ירושלים / שפלה</t>
        </is>
      </c>
      <c r="G74" s="14" t="n">
        <v>30</v>
      </c>
      <c r="H74" s="16" t="n">
        <v>200000</v>
      </c>
      <c r="I74" s="17" t="n">
        <v>8000</v>
      </c>
      <c r="J74" s="17" t="n">
        <v>800</v>
      </c>
      <c r="K74" s="14" t="n">
        <v>80</v>
      </c>
      <c r="L74" s="14" t="n">
        <v>15.6</v>
      </c>
      <c r="M74" s="14" t="n">
        <v>28403</v>
      </c>
    </row>
    <row r="75">
      <c r="A75" t="n">
        <v>76</v>
      </c>
      <c r="B75" s="12" t="n">
        <v>32.88962</v>
      </c>
      <c r="C75" s="12" t="n">
        <v>35.25865</v>
      </c>
      <c r="D75" t="inlineStr">
        <is>
          <t>784</t>
        </is>
      </c>
      <c r="E75" t="inlineStr">
        <is>
          <t>רגיל</t>
        </is>
      </c>
      <c r="F75" t="inlineStr">
        <is>
          <t>חיפה / כרמל</t>
        </is>
      </c>
      <c r="G75" t="n">
        <v>12</v>
      </c>
      <c r="H75" s="6" t="n">
        <v>100000</v>
      </c>
      <c r="I75" s="13" t="n">
        <v>4000</v>
      </c>
      <c r="J75" s="13" t="n">
        <v>400</v>
      </c>
      <c r="K75" t="n">
        <v>80</v>
      </c>
      <c r="L75" t="n">
        <v>7.8</v>
      </c>
      <c r="M75" t="n">
        <v>13342</v>
      </c>
    </row>
    <row r="76">
      <c r="A76" s="14" t="n">
        <v>77</v>
      </c>
      <c r="B76" s="15" t="n">
        <v>33.0197</v>
      </c>
      <c r="C76" s="15" t="n">
        <v>35.4405</v>
      </c>
      <c r="D76" s="14" t="inlineStr">
        <is>
          <t>89</t>
        </is>
      </c>
      <c r="E76" s="14" t="inlineStr">
        <is>
          <t>רגיל</t>
        </is>
      </c>
      <c r="F76" s="14" t="inlineStr">
        <is>
          <t>צפון (גליל / גבול לבנון)</t>
        </is>
      </c>
      <c r="G76" s="14" t="n">
        <v>20</v>
      </c>
      <c r="H76" s="16" t="n">
        <v>150000</v>
      </c>
      <c r="I76" s="17" t="n">
        <v>9000</v>
      </c>
      <c r="J76" s="17" t="n">
        <v>900</v>
      </c>
      <c r="K76" s="14" t="n">
        <v>90</v>
      </c>
      <c r="L76" s="14" t="n">
        <v>17.6</v>
      </c>
      <c r="M76" s="14" t="n">
        <v>6850</v>
      </c>
    </row>
    <row r="77">
      <c r="A77" t="n">
        <v>78</v>
      </c>
      <c r="B77" s="12" t="n">
        <v>33.0454</v>
      </c>
      <c r="C77" s="12" t="n">
        <v>35.48964</v>
      </c>
      <c r="D77" t="inlineStr">
        <is>
          <t>886</t>
        </is>
      </c>
      <c r="E77" t="inlineStr">
        <is>
          <t>רגיל</t>
        </is>
      </c>
      <c r="F77" t="inlineStr">
        <is>
          <t>צפון (גליל / גבול לבנון)</t>
        </is>
      </c>
      <c r="G77" t="n">
        <v>20</v>
      </c>
      <c r="H77" s="6" t="n">
        <v>150000</v>
      </c>
      <c r="I77" s="13" t="n">
        <v>8000</v>
      </c>
      <c r="J77" s="13" t="n">
        <v>800</v>
      </c>
      <c r="K77" t="n">
        <v>80</v>
      </c>
      <c r="L77" t="n">
        <v>15.6</v>
      </c>
      <c r="M77" t="n">
        <v>5993</v>
      </c>
    </row>
    <row r="78">
      <c r="A78" s="14" t="n">
        <v>79</v>
      </c>
      <c r="B78" s="15" t="n">
        <v>32.83996</v>
      </c>
      <c r="C78" s="15" t="n">
        <v>35.11552</v>
      </c>
      <c r="D78" s="14" t="inlineStr">
        <is>
          <t>79</t>
        </is>
      </c>
      <c r="E78" s="14" t="inlineStr">
        <is>
          <t>רגיל</t>
        </is>
      </c>
      <c r="F78" s="14" t="inlineStr">
        <is>
          <t>חיפה / כרמל</t>
        </is>
      </c>
      <c r="G78" s="14" t="n">
        <v>50</v>
      </c>
      <c r="H78" s="16" t="n">
        <v>250000</v>
      </c>
      <c r="I78" s="17" t="n">
        <v>18000</v>
      </c>
      <c r="J78" s="17" t="n">
        <v>1800</v>
      </c>
      <c r="K78" s="14" t="n">
        <v>90</v>
      </c>
      <c r="L78" s="14" t="n">
        <v>35.1</v>
      </c>
      <c r="M78" s="14" t="n">
        <v>13505</v>
      </c>
    </row>
    <row r="79">
      <c r="A79" t="n">
        <v>80</v>
      </c>
      <c r="B79" s="12" t="n">
        <v>32.8402</v>
      </c>
      <c r="C79" s="12" t="n">
        <v>35.16247</v>
      </c>
      <c r="D79" t="inlineStr">
        <is>
          <t>70</t>
        </is>
      </c>
      <c r="E79" t="inlineStr">
        <is>
          <t>רגיל</t>
        </is>
      </c>
      <c r="F79" t="inlineStr">
        <is>
          <t>חיפה / כרמל</t>
        </is>
      </c>
      <c r="G79" t="n">
        <v>50</v>
      </c>
      <c r="H79" s="6" t="n">
        <v>250000</v>
      </c>
      <c r="I79" s="13" t="n">
        <v>20000</v>
      </c>
      <c r="J79" s="13" t="n">
        <v>2000</v>
      </c>
      <c r="K79" t="n">
        <v>90</v>
      </c>
      <c r="L79" t="n">
        <v>39</v>
      </c>
      <c r="M79" t="n">
        <v>14475</v>
      </c>
    </row>
    <row r="80">
      <c r="A80" s="14" t="n">
        <v>81</v>
      </c>
      <c r="B80" s="15" t="n">
        <v>31.57579</v>
      </c>
      <c r="C80" s="15" t="n">
        <v>34.67754</v>
      </c>
      <c r="D80" s="14" t="inlineStr">
        <is>
          <t>352</t>
        </is>
      </c>
      <c r="E80" s="14" t="inlineStr">
        <is>
          <t>עוטף עזה</t>
        </is>
      </c>
      <c r="F80" s="14" t="inlineStr">
        <is>
          <t>עוטף עזה / הנגב המערבי</t>
        </is>
      </c>
      <c r="G80" s="14" t="n">
        <v>20</v>
      </c>
      <c r="H80" s="16" t="n">
        <v>150000</v>
      </c>
      <c r="I80" s="17" t="n">
        <v>8000</v>
      </c>
      <c r="J80" s="17" t="n">
        <v>800</v>
      </c>
      <c r="K80" s="14" t="n">
        <v>80</v>
      </c>
      <c r="L80" s="14" t="n">
        <v>12.5</v>
      </c>
      <c r="M80" s="14" t="n">
        <v>2730</v>
      </c>
    </row>
    <row r="81">
      <c r="A81" t="n">
        <v>82</v>
      </c>
      <c r="B81" s="12" t="n">
        <v>31.9594</v>
      </c>
      <c r="C81" s="12" t="n">
        <v>34.75889</v>
      </c>
      <c r="D81" t="inlineStr">
        <is>
          <t>איילון דרום</t>
        </is>
      </c>
      <c r="E81" t="inlineStr">
        <is>
          <t>רגיל</t>
        </is>
      </c>
      <c r="F81" t="inlineStr">
        <is>
          <t>ירושלים / שפלה</t>
        </is>
      </c>
      <c r="G81" t="n">
        <v>30</v>
      </c>
      <c r="H81" s="6" t="n">
        <v>200000</v>
      </c>
      <c r="I81" s="13" t="n">
        <v>8000</v>
      </c>
      <c r="J81" s="13" t="n">
        <v>800</v>
      </c>
      <c r="K81" t="n">
        <v>70</v>
      </c>
      <c r="L81" t="n">
        <v>15.6</v>
      </c>
      <c r="M81" t="n">
        <v>34515</v>
      </c>
    </row>
    <row r="82">
      <c r="A82" s="14" t="n">
        <v>83</v>
      </c>
      <c r="B82" s="15" t="n">
        <v>32.21118</v>
      </c>
      <c r="C82" s="15" t="n">
        <v>34.88385</v>
      </c>
      <c r="D82" s="14" t="inlineStr">
        <is>
          <t>כביש חיפה רעננה</t>
        </is>
      </c>
      <c r="E82" s="14" t="inlineStr">
        <is>
          <t>רגיל</t>
        </is>
      </c>
      <c r="F82" s="14" t="inlineStr">
        <is>
          <t>מרכז (שרון / גוש דן)</t>
        </is>
      </c>
      <c r="G82" s="14" t="n">
        <v>30</v>
      </c>
      <c r="H82" s="16" t="n">
        <v>200000</v>
      </c>
      <c r="I82" s="17" t="n">
        <v>8000</v>
      </c>
      <c r="J82" s="17" t="n">
        <v>800</v>
      </c>
      <c r="K82" s="14" t="n">
        <v>90</v>
      </c>
      <c r="L82" s="14" t="n">
        <v>15.6</v>
      </c>
      <c r="M82" s="14" t="n">
        <v>38631</v>
      </c>
    </row>
    <row r="83">
      <c r="A83" t="n">
        <v>84</v>
      </c>
      <c r="B83" s="12" t="n">
        <v>32.93669</v>
      </c>
      <c r="C83" s="12" t="n">
        <v>35.37481</v>
      </c>
      <c r="D83" t="inlineStr">
        <is>
          <t>864</t>
        </is>
      </c>
      <c r="E83" t="inlineStr">
        <is>
          <t>רגיל</t>
        </is>
      </c>
      <c r="F83" t="inlineStr">
        <is>
          <t>חיפה / כרמל</t>
        </is>
      </c>
      <c r="G83" t="n">
        <v>20</v>
      </c>
      <c r="H83" s="6" t="n">
        <v>150000</v>
      </c>
      <c r="I83" s="13" t="n">
        <v>8000</v>
      </c>
      <c r="J83" s="13" t="n">
        <v>800</v>
      </c>
      <c r="K83" t="n">
        <v>80</v>
      </c>
      <c r="L83" t="n">
        <v>15.6</v>
      </c>
      <c r="M83" t="n">
        <v>11270</v>
      </c>
    </row>
    <row r="84">
      <c r="A84" s="14" t="n">
        <v>85</v>
      </c>
      <c r="B84" s="15" t="n">
        <v>32.02119</v>
      </c>
      <c r="C84" s="15" t="n">
        <v>34.80573</v>
      </c>
      <c r="D84" s="14" t="inlineStr">
        <is>
          <t>השבעה</t>
        </is>
      </c>
      <c r="E84" s="14" t="inlineStr">
        <is>
          <t>רגיל</t>
        </is>
      </c>
      <c r="F84" s="14" t="inlineStr">
        <is>
          <t>מרכז (שרון / גוש דן)</t>
        </is>
      </c>
      <c r="G84" s="14" t="n">
        <v>50</v>
      </c>
      <c r="H84" s="16" t="n">
        <v>250000</v>
      </c>
      <c r="I84" s="17" t="n">
        <v>18000</v>
      </c>
      <c r="J84" s="17" t="n">
        <v>1800</v>
      </c>
      <c r="K84" s="14" t="n">
        <v>70</v>
      </c>
      <c r="L84" s="14" t="n">
        <v>35.1</v>
      </c>
      <c r="M84" s="14" t="n">
        <v>38052</v>
      </c>
    </row>
    <row r="85">
      <c r="A85" t="n">
        <v>86</v>
      </c>
      <c r="B85" s="12" t="n">
        <v>31.34626</v>
      </c>
      <c r="C85" s="12" t="n">
        <v>34.64342</v>
      </c>
      <c r="D85" t="inlineStr">
        <is>
          <t>25</t>
        </is>
      </c>
      <c r="E85" t="inlineStr">
        <is>
          <t>עוטף עזה</t>
        </is>
      </c>
      <c r="F85" t="inlineStr">
        <is>
          <t>עוטף עזה / הנגב המערבי</t>
        </is>
      </c>
      <c r="G85" t="n">
        <v>12</v>
      </c>
      <c r="H85" s="6" t="n">
        <v>100000</v>
      </c>
      <c r="I85" s="13" t="n">
        <v>7000</v>
      </c>
      <c r="J85" s="13" t="n">
        <v>700</v>
      </c>
      <c r="K85" t="n">
        <v>90</v>
      </c>
      <c r="L85" t="n">
        <v>10.9</v>
      </c>
      <c r="M85" t="inlineStr"/>
    </row>
    <row r="86">
      <c r="A86" s="14" t="n">
        <v>87</v>
      </c>
      <c r="B86" s="15" t="n">
        <v>32.2298</v>
      </c>
      <c r="C86" s="15" t="n">
        <v>34.9505</v>
      </c>
      <c r="D86" s="14" t="inlineStr">
        <is>
          <t>טארק עבד אל חי</t>
        </is>
      </c>
      <c r="E86" s="14" t="inlineStr">
        <is>
          <t>רגיל</t>
        </is>
      </c>
      <c r="F86" s="14" t="inlineStr">
        <is>
          <t>מרכז (שרון / גוש דן)</t>
        </is>
      </c>
      <c r="G86" s="14" t="n">
        <v>30</v>
      </c>
      <c r="H86" s="16" t="n">
        <v>200000</v>
      </c>
      <c r="I86" s="17" t="n">
        <v>8000</v>
      </c>
      <c r="J86" s="17" t="n">
        <v>800</v>
      </c>
      <c r="K86" s="14" t="n">
        <v>80</v>
      </c>
      <c r="L86" s="14" t="n">
        <v>15.6</v>
      </c>
      <c r="M86" s="14" t="n">
        <v>37587</v>
      </c>
    </row>
    <row r="87">
      <c r="A87" t="n">
        <v>88</v>
      </c>
      <c r="B87" s="12" t="n">
        <v>32.98496</v>
      </c>
      <c r="C87" s="12" t="n">
        <v>35.44306</v>
      </c>
      <c r="D87" t="inlineStr">
        <is>
          <t>866</t>
        </is>
      </c>
      <c r="E87" t="inlineStr">
        <is>
          <t>רגיל</t>
        </is>
      </c>
      <c r="F87" t="inlineStr">
        <is>
          <t>חיפה / כרמל</t>
        </is>
      </c>
      <c r="G87" t="n">
        <v>20</v>
      </c>
      <c r="H87" s="6" t="n">
        <v>150000</v>
      </c>
      <c r="I87" s="13" t="n">
        <v>8000</v>
      </c>
      <c r="J87" s="13" t="n">
        <v>800</v>
      </c>
      <c r="K87" t="n">
        <v>60</v>
      </c>
      <c r="L87" t="n">
        <v>15.6</v>
      </c>
      <c r="M87" t="n">
        <v>7595</v>
      </c>
    </row>
    <row r="88">
      <c r="A88" s="14" t="n">
        <v>89</v>
      </c>
      <c r="B88" s="15" t="n">
        <v>32.86495</v>
      </c>
      <c r="C88" s="15" t="n">
        <v>35.25615</v>
      </c>
      <c r="D88" s="14" t="inlineStr">
        <is>
          <t>805</t>
        </is>
      </c>
      <c r="E88" s="14" t="inlineStr">
        <is>
          <t>רגיל</t>
        </is>
      </c>
      <c r="F88" s="14" t="inlineStr">
        <is>
          <t>חיפה / כרמל</t>
        </is>
      </c>
      <c r="G88" s="14" t="n">
        <v>12</v>
      </c>
      <c r="H88" s="16" t="n">
        <v>100000</v>
      </c>
      <c r="I88" s="17" t="n">
        <v>4000</v>
      </c>
      <c r="J88" s="17" t="n">
        <v>400</v>
      </c>
      <c r="K88" s="14" t="n">
        <v>80</v>
      </c>
      <c r="L88" s="14" t="n">
        <v>7.8</v>
      </c>
      <c r="M88" s="14" t="n">
        <v>12660</v>
      </c>
    </row>
    <row r="89">
      <c r="A89" t="n">
        <v>90</v>
      </c>
      <c r="B89" s="12" t="n">
        <v>31.64134</v>
      </c>
      <c r="C89" s="12" t="n">
        <v>34.73393</v>
      </c>
      <c r="D89" t="inlineStr">
        <is>
          <t>35</t>
        </is>
      </c>
      <c r="E89" t="inlineStr">
        <is>
          <t>רגיל</t>
        </is>
      </c>
      <c r="F89" t="inlineStr">
        <is>
          <t>ירושלים / שפלה</t>
        </is>
      </c>
      <c r="G89" t="n">
        <v>20</v>
      </c>
      <c r="H89" s="6" t="n">
        <v>150000</v>
      </c>
      <c r="I89" s="13" t="n">
        <v>11000</v>
      </c>
      <c r="J89" s="13" t="n">
        <v>1100</v>
      </c>
      <c r="K89" t="n">
        <v>90</v>
      </c>
      <c r="L89" t="n">
        <v>17.2</v>
      </c>
      <c r="M89" t="n">
        <v>6284</v>
      </c>
    </row>
    <row r="90">
      <c r="A90" s="14" t="n">
        <v>91</v>
      </c>
      <c r="B90" s="15" t="n">
        <v>31.67842</v>
      </c>
      <c r="C90" s="15" t="n">
        <v>34.7653</v>
      </c>
      <c r="D90" s="14" t="inlineStr">
        <is>
          <t>40</t>
        </is>
      </c>
      <c r="E90" s="14" t="inlineStr">
        <is>
          <t>רגיל</t>
        </is>
      </c>
      <c r="F90" s="14" t="inlineStr">
        <is>
          <t>ירושלים / שפלה</t>
        </is>
      </c>
      <c r="G90" s="14" t="n">
        <v>50</v>
      </c>
      <c r="H90" s="16" t="n">
        <v>250000</v>
      </c>
      <c r="I90" s="17" t="n">
        <v>22000</v>
      </c>
      <c r="J90" s="17" t="n">
        <v>2200</v>
      </c>
      <c r="K90" s="14" t="n">
        <v>90</v>
      </c>
      <c r="L90" s="14" t="n">
        <v>42.9</v>
      </c>
      <c r="M90" s="14" t="n">
        <v>10448</v>
      </c>
    </row>
    <row r="91">
      <c r="A91" t="n">
        <v>92</v>
      </c>
      <c r="B91" s="12" t="n">
        <v>32.83423</v>
      </c>
      <c r="C91" s="12" t="n">
        <v>35.21687</v>
      </c>
      <c r="D91" t="inlineStr">
        <is>
          <t>781</t>
        </is>
      </c>
      <c r="E91" t="inlineStr">
        <is>
          <t>רגיל</t>
        </is>
      </c>
      <c r="F91" t="inlineStr">
        <is>
          <t>חיפה / כרמל</t>
        </is>
      </c>
      <c r="G91" t="n">
        <v>20</v>
      </c>
      <c r="H91" s="6" t="n">
        <v>150000</v>
      </c>
      <c r="I91" s="13" t="n">
        <v>8000</v>
      </c>
      <c r="J91" s="13" t="n">
        <v>800</v>
      </c>
      <c r="K91" t="n">
        <v>80</v>
      </c>
      <c r="L91" t="n">
        <v>15.6</v>
      </c>
      <c r="M91" t="n">
        <v>13745</v>
      </c>
    </row>
    <row r="92">
      <c r="A92" s="14" t="n">
        <v>93</v>
      </c>
      <c r="B92" s="15" t="n">
        <v>31.49421</v>
      </c>
      <c r="C92" s="15" t="n">
        <v>34.69139</v>
      </c>
      <c r="D92" s="14" t="inlineStr">
        <is>
          <t>ארץ הביתרונות</t>
        </is>
      </c>
      <c r="E92" s="14" t="inlineStr">
        <is>
          <t>עוטף עזה</t>
        </is>
      </c>
      <c r="F92" s="14" t="inlineStr">
        <is>
          <t>עוטף עזה / הנגב המערבי</t>
        </is>
      </c>
      <c r="G92" s="14" t="n">
        <v>20</v>
      </c>
      <c r="H92" s="16" t="n">
        <v>150000</v>
      </c>
      <c r="I92" s="17" t="n">
        <v>8000</v>
      </c>
      <c r="J92" s="17" t="n">
        <v>800</v>
      </c>
      <c r="K92" s="14" t="n">
        <v>80</v>
      </c>
      <c r="L92" s="14" t="n">
        <v>12.5</v>
      </c>
      <c r="M92" s="14" t="n">
        <v>827</v>
      </c>
    </row>
    <row r="93">
      <c r="A93" t="n">
        <v>94</v>
      </c>
      <c r="B93" s="12" t="n">
        <v>31.81131</v>
      </c>
      <c r="C93" s="12" t="n">
        <v>35.02971</v>
      </c>
      <c r="D93" t="inlineStr">
        <is>
          <t>כביש ירושלים תל אביב</t>
        </is>
      </c>
      <c r="E93" t="inlineStr">
        <is>
          <t>רגיל</t>
        </is>
      </c>
      <c r="F93" t="inlineStr">
        <is>
          <t>ירושלים / שפלה</t>
        </is>
      </c>
      <c r="G93" t="n">
        <v>50</v>
      </c>
      <c r="H93" s="6" t="n">
        <v>250000</v>
      </c>
      <c r="I93" s="13" t="n">
        <v>13000</v>
      </c>
      <c r="J93" s="13" t="n">
        <v>1300</v>
      </c>
      <c r="K93" t="n">
        <v>90</v>
      </c>
      <c r="L93" t="n">
        <v>25.4</v>
      </c>
      <c r="M93" t="n">
        <v>35641</v>
      </c>
    </row>
    <row r="94">
      <c r="A94" s="14" t="n">
        <v>95</v>
      </c>
      <c r="B94" s="15" t="n">
        <v>32.81752</v>
      </c>
      <c r="C94" s="15" t="n">
        <v>35.07755</v>
      </c>
      <c r="D94" s="14" t="inlineStr">
        <is>
          <t>שדרות ההסתדרות</t>
        </is>
      </c>
      <c r="E94" s="14" t="inlineStr">
        <is>
          <t>רגיל</t>
        </is>
      </c>
      <c r="F94" s="14" t="inlineStr">
        <is>
          <t>חיפה / כרמל</t>
        </is>
      </c>
      <c r="G94" s="14" t="n">
        <v>50</v>
      </c>
      <c r="H94" s="16" t="n">
        <v>250000</v>
      </c>
      <c r="I94" s="17" t="n">
        <v>18000</v>
      </c>
      <c r="J94" s="17" t="n">
        <v>1800</v>
      </c>
      <c r="K94" s="14" t="n">
        <v>90</v>
      </c>
      <c r="L94" s="14" t="n">
        <v>35.1</v>
      </c>
      <c r="M94" s="14" t="n">
        <v>10161</v>
      </c>
    </row>
    <row r="95">
      <c r="A95" t="n">
        <v>96</v>
      </c>
      <c r="B95" s="12" t="n">
        <v>32.89917</v>
      </c>
      <c r="C95" s="12" t="n">
        <v>35.3715</v>
      </c>
      <c r="D95" t="inlineStr">
        <is>
          <t>804</t>
        </is>
      </c>
      <c r="E95" t="inlineStr">
        <is>
          <t>רגיל</t>
        </is>
      </c>
      <c r="F95" t="inlineStr">
        <is>
          <t>חיפה / כרמל</t>
        </is>
      </c>
      <c r="G95" t="n">
        <v>20</v>
      </c>
      <c r="H95" s="6" t="n">
        <v>150000</v>
      </c>
      <c r="I95" s="13" t="n">
        <v>8000</v>
      </c>
      <c r="J95" s="13" t="n">
        <v>800</v>
      </c>
      <c r="K95" t="n">
        <v>80</v>
      </c>
      <c r="L95" t="n">
        <v>15.6</v>
      </c>
      <c r="M95" t="n">
        <v>11097</v>
      </c>
    </row>
    <row r="96">
      <c r="A96" s="14" t="n">
        <v>97</v>
      </c>
      <c r="B96" s="15" t="n">
        <v>32.84198</v>
      </c>
      <c r="C96" s="15" t="n">
        <v>35.26131</v>
      </c>
      <c r="D96" s="14" t="inlineStr">
        <is>
          <t>784</t>
        </is>
      </c>
      <c r="E96" s="14" t="inlineStr">
        <is>
          <t>רגיל</t>
        </is>
      </c>
      <c r="F96" s="14" t="inlineStr">
        <is>
          <t>חיפה / כרמל</t>
        </is>
      </c>
      <c r="G96" s="14" t="n">
        <v>12</v>
      </c>
      <c r="H96" s="16" t="n">
        <v>100000</v>
      </c>
      <c r="I96" s="17" t="n">
        <v>4000</v>
      </c>
      <c r="J96" s="17" t="n">
        <v>400</v>
      </c>
      <c r="K96" s="14" t="n">
        <v>80</v>
      </c>
      <c r="L96" s="14" t="n">
        <v>7.8</v>
      </c>
      <c r="M96" s="14" t="n">
        <v>12248</v>
      </c>
    </row>
    <row r="97">
      <c r="A97" t="n">
        <v>98</v>
      </c>
      <c r="B97" s="12" t="n">
        <v>31.69811</v>
      </c>
      <c r="C97" s="12" t="n">
        <v>34.8157</v>
      </c>
      <c r="D97" t="inlineStr">
        <is>
          <t>כביש חוצה ישראל</t>
        </is>
      </c>
      <c r="E97" t="inlineStr">
        <is>
          <t>רגיל</t>
        </is>
      </c>
      <c r="F97" t="inlineStr">
        <is>
          <t>ירושלים / שפלה</t>
        </is>
      </c>
      <c r="G97" t="n">
        <v>20</v>
      </c>
      <c r="H97" s="6" t="n">
        <v>150000</v>
      </c>
      <c r="I97" s="13" t="n">
        <v>8000</v>
      </c>
      <c r="J97" s="13" t="n">
        <v>800</v>
      </c>
      <c r="K97" t="n">
        <v>110</v>
      </c>
      <c r="L97" t="n">
        <v>15.6</v>
      </c>
      <c r="M97" t="n">
        <v>13052</v>
      </c>
    </row>
    <row r="98">
      <c r="A98" s="14" t="n">
        <v>99</v>
      </c>
      <c r="B98" s="15" t="n">
        <v>32.98889</v>
      </c>
      <c r="C98" s="15" t="n">
        <v>35.48344</v>
      </c>
      <c r="D98" s="14" t="inlineStr">
        <is>
          <t>89</t>
        </is>
      </c>
      <c r="E98" s="14" t="inlineStr">
        <is>
          <t>רגיל</t>
        </is>
      </c>
      <c r="F98" s="14" t="inlineStr">
        <is>
          <t>חיפה / כרמל</t>
        </is>
      </c>
      <c r="G98" s="14" t="n">
        <v>20</v>
      </c>
      <c r="H98" s="16" t="n">
        <v>150000</v>
      </c>
      <c r="I98" s="17" t="n">
        <v>9000</v>
      </c>
      <c r="J98" s="17" t="n">
        <v>900</v>
      </c>
      <c r="K98" s="14" t="n">
        <v>90</v>
      </c>
      <c r="L98" s="14" t="n">
        <v>17.6</v>
      </c>
      <c r="M98" s="14" t="n">
        <v>5165</v>
      </c>
    </row>
    <row r="99">
      <c r="A99" t="n">
        <v>100</v>
      </c>
      <c r="B99" s="12" t="n">
        <v>32.86205</v>
      </c>
      <c r="C99" s="12" t="n">
        <v>35.29968</v>
      </c>
      <c r="D99" t="inlineStr">
        <is>
          <t>הגליל</t>
        </is>
      </c>
      <c r="E99" t="inlineStr">
        <is>
          <t>רגיל</t>
        </is>
      </c>
      <c r="F99" t="inlineStr">
        <is>
          <t>חיפה / כרמל</t>
        </is>
      </c>
      <c r="G99" t="n">
        <v>20</v>
      </c>
      <c r="H99" s="6" t="n">
        <v>150000</v>
      </c>
      <c r="I99" s="13" t="n">
        <v>8000</v>
      </c>
      <c r="J99" s="13" t="n">
        <v>800</v>
      </c>
      <c r="K99" t="n">
        <v>80</v>
      </c>
      <c r="L99" t="n">
        <v>15.6</v>
      </c>
      <c r="M99" t="n">
        <v>10887</v>
      </c>
    </row>
    <row r="100">
      <c r="A100" s="14" t="n">
        <v>101</v>
      </c>
      <c r="B100" s="15" t="n">
        <v>31.32963</v>
      </c>
      <c r="C100" s="15" t="n">
        <v>34.69991</v>
      </c>
      <c r="D100" s="14" t="inlineStr">
        <is>
          <t>25</t>
        </is>
      </c>
      <c r="E100" s="14" t="inlineStr">
        <is>
          <t>עוטף עזה</t>
        </is>
      </c>
      <c r="F100" s="14" t="inlineStr">
        <is>
          <t>עוטף עזה / הנגב המערבי</t>
        </is>
      </c>
      <c r="G100" s="14" t="n">
        <v>20</v>
      </c>
      <c r="H100" s="16" t="n">
        <v>150000</v>
      </c>
      <c r="I100" s="17" t="n">
        <v>8000</v>
      </c>
      <c r="J100" s="17" t="n">
        <v>800</v>
      </c>
      <c r="K100" s="14" t="n">
        <v>90</v>
      </c>
      <c r="L100" s="14" t="n">
        <v>15.6</v>
      </c>
      <c r="M100" s="14" t="n">
        <v>789</v>
      </c>
    </row>
    <row r="101">
      <c r="A101" t="n">
        <v>102</v>
      </c>
      <c r="B101" s="12" t="n">
        <v>32.79927</v>
      </c>
      <c r="C101" s="12" t="n">
        <v>35.10271</v>
      </c>
      <c r="D101" t="inlineStr">
        <is>
          <t>העצמאות</t>
        </is>
      </c>
      <c r="E101" t="inlineStr">
        <is>
          <t>רגיל</t>
        </is>
      </c>
      <c r="F101" t="inlineStr">
        <is>
          <t>חיפה / כרמל</t>
        </is>
      </c>
      <c r="G101" t="n">
        <v>30</v>
      </c>
      <c r="H101" s="6" t="n">
        <v>200000</v>
      </c>
      <c r="I101" s="13" t="n">
        <v>13000</v>
      </c>
      <c r="J101" s="13" t="n">
        <v>1300</v>
      </c>
      <c r="K101" t="n">
        <v>80</v>
      </c>
      <c r="L101" t="n">
        <v>25.4</v>
      </c>
      <c r="M101" t="n">
        <v>10828</v>
      </c>
    </row>
    <row r="102">
      <c r="A102" s="14" t="n">
        <v>103</v>
      </c>
      <c r="B102" s="15" t="n">
        <v>31.78693</v>
      </c>
      <c r="C102" s="15" t="n">
        <v>35.01387</v>
      </c>
      <c r="D102" s="14" t="inlineStr">
        <is>
          <t>38</t>
        </is>
      </c>
      <c r="E102" s="14" t="inlineStr">
        <is>
          <t>רגיל</t>
        </is>
      </c>
      <c r="F102" s="14" t="inlineStr">
        <is>
          <t>ירושלים / שפלה</t>
        </is>
      </c>
      <c r="G102" s="14" t="n">
        <v>50</v>
      </c>
      <c r="H102" s="16" t="n">
        <v>250000</v>
      </c>
      <c r="I102" s="17" t="n">
        <v>14000</v>
      </c>
      <c r="J102" s="17" t="n">
        <v>1400</v>
      </c>
      <c r="K102" s="14" t="n">
        <v>90</v>
      </c>
      <c r="L102" s="14" t="n">
        <v>27.3</v>
      </c>
      <c r="M102" s="14" t="n">
        <v>32451</v>
      </c>
    </row>
    <row r="103">
      <c r="A103" t="n">
        <v>104</v>
      </c>
      <c r="B103" s="12" t="n">
        <v>32.79903</v>
      </c>
      <c r="C103" s="12" t="n">
        <v>35.14345</v>
      </c>
      <c r="D103" t="inlineStr">
        <is>
          <t>כביש חוצה ישראל</t>
        </is>
      </c>
      <c r="E103" t="inlineStr">
        <is>
          <t>רגיל</t>
        </is>
      </c>
      <c r="F103" t="inlineStr">
        <is>
          <t>חיפה / כרמל</t>
        </is>
      </c>
      <c r="G103" t="n">
        <v>20</v>
      </c>
      <c r="H103" s="6" t="n">
        <v>150000</v>
      </c>
      <c r="I103" s="13" t="n">
        <v>8000</v>
      </c>
      <c r="J103" s="13" t="n">
        <v>800</v>
      </c>
      <c r="K103" t="n">
        <v>100</v>
      </c>
      <c r="L103" t="n">
        <v>15.6</v>
      </c>
      <c r="M103" t="n">
        <v>11380</v>
      </c>
    </row>
    <row r="104">
      <c r="A104" s="14" t="n">
        <v>105</v>
      </c>
      <c r="B104" s="15" t="n">
        <v>32.92179</v>
      </c>
      <c r="C104" s="15" t="n">
        <v>35.41765</v>
      </c>
      <c r="D104" s="14" t="inlineStr">
        <is>
          <t>806</t>
        </is>
      </c>
      <c r="E104" s="14" t="inlineStr">
        <is>
          <t>רגיל</t>
        </is>
      </c>
      <c r="F104" s="14" t="inlineStr">
        <is>
          <t>חיפה / כרמל</t>
        </is>
      </c>
      <c r="G104" s="14" t="n">
        <v>20</v>
      </c>
      <c r="H104" s="16" t="n">
        <v>150000</v>
      </c>
      <c r="I104" s="17" t="n">
        <v>8000</v>
      </c>
      <c r="J104" s="17" t="n">
        <v>800</v>
      </c>
      <c r="K104" s="14" t="n">
        <v>80</v>
      </c>
      <c r="L104" s="14" t="n">
        <v>15.6</v>
      </c>
      <c r="M104" s="14" t="n">
        <v>8325</v>
      </c>
    </row>
    <row r="105">
      <c r="A105" t="n">
        <v>106</v>
      </c>
      <c r="B105" s="12" t="n">
        <v>31.1493</v>
      </c>
      <c r="C105" s="12" t="n">
        <v>34.60686</v>
      </c>
      <c r="D105" t="inlineStr">
        <is>
          <t>222</t>
        </is>
      </c>
      <c r="E105" t="inlineStr">
        <is>
          <t>עוטף עזה</t>
        </is>
      </c>
      <c r="F105" t="inlineStr">
        <is>
          <t>עוטף עזה / הנגב המערבי</t>
        </is>
      </c>
      <c r="G105" t="n">
        <v>20</v>
      </c>
      <c r="H105" s="6" t="n">
        <v>150000</v>
      </c>
      <c r="I105" s="13" t="n">
        <v>8000</v>
      </c>
      <c r="J105" s="13" t="n">
        <v>800</v>
      </c>
      <c r="K105" t="n">
        <v>90</v>
      </c>
      <c r="L105" t="n">
        <v>15.6</v>
      </c>
      <c r="M105" t="inlineStr"/>
    </row>
    <row r="106">
      <c r="A106" s="14" t="n">
        <v>107</v>
      </c>
      <c r="B106" s="15" t="n">
        <v>31.59895</v>
      </c>
      <c r="C106" s="15" t="n">
        <v>34.75393</v>
      </c>
      <c r="D106" s="14" t="inlineStr">
        <is>
          <t>40</t>
        </is>
      </c>
      <c r="E106" s="14" t="inlineStr">
        <is>
          <t>עוטף עזה</t>
        </is>
      </c>
      <c r="F106" s="14" t="inlineStr">
        <is>
          <t>עוטף עזה / הנגב המערבי</t>
        </is>
      </c>
      <c r="G106" s="14" t="n">
        <v>50</v>
      </c>
      <c r="H106" s="16" t="n">
        <v>250000</v>
      </c>
      <c r="I106" s="17" t="n">
        <v>22000</v>
      </c>
      <c r="J106" s="17" t="n">
        <v>2200</v>
      </c>
      <c r="K106" s="14" t="n">
        <v>50</v>
      </c>
      <c r="L106" s="14" t="n">
        <v>42.9</v>
      </c>
      <c r="M106" s="14" t="n">
        <v>3183</v>
      </c>
    </row>
    <row r="107">
      <c r="A107" t="n">
        <v>108</v>
      </c>
      <c r="B107" s="12" t="n">
        <v>33.00299</v>
      </c>
      <c r="C107" s="12" t="n">
        <v>35.56556</v>
      </c>
      <c r="D107" t="inlineStr">
        <is>
          <t>90</t>
        </is>
      </c>
      <c r="E107" t="inlineStr">
        <is>
          <t>רגיל</t>
        </is>
      </c>
      <c r="F107" t="inlineStr">
        <is>
          <t>צפון (גליל / גבול לבנון)</t>
        </is>
      </c>
      <c r="G107" t="n">
        <v>20</v>
      </c>
      <c r="H107" s="6" t="n">
        <v>150000</v>
      </c>
      <c r="I107" s="13" t="n">
        <v>9000</v>
      </c>
      <c r="J107" s="13" t="n">
        <v>900</v>
      </c>
      <c r="K107" t="n">
        <v>90</v>
      </c>
      <c r="L107" t="n">
        <v>17.6</v>
      </c>
      <c r="M107" t="n">
        <v>4889</v>
      </c>
    </row>
    <row r="108">
      <c r="A108" s="14" t="n">
        <v>109</v>
      </c>
      <c r="B108" s="15" t="n">
        <v>32.8048</v>
      </c>
      <c r="C108" s="15" t="n">
        <v>35.054</v>
      </c>
      <c r="D108" s="14" t="inlineStr">
        <is>
          <t>נתיבי המפרץ</t>
        </is>
      </c>
      <c r="E108" s="14" t="inlineStr">
        <is>
          <t>רגיל</t>
        </is>
      </c>
      <c r="F108" s="14" t="inlineStr">
        <is>
          <t>חיפה / כרמל</t>
        </is>
      </c>
      <c r="G108" s="14" t="n">
        <v>50</v>
      </c>
      <c r="H108" s="16" t="n">
        <v>250000</v>
      </c>
      <c r="I108" s="17" t="n">
        <v>35000</v>
      </c>
      <c r="J108" s="17" t="n">
        <v>3500</v>
      </c>
      <c r="K108" s="14" t="n">
        <v>90</v>
      </c>
      <c r="L108" s="14" t="n">
        <v>68.2</v>
      </c>
      <c r="M108" s="14" t="n">
        <v>8806</v>
      </c>
    </row>
    <row r="109">
      <c r="A109" t="n">
        <v>110</v>
      </c>
      <c r="B109" s="12" t="n">
        <v>31.38327</v>
      </c>
      <c r="C109" s="12" t="n">
        <v>34.72069</v>
      </c>
      <c r="D109" t="inlineStr">
        <is>
          <t>264</t>
        </is>
      </c>
      <c r="E109" t="inlineStr">
        <is>
          <t>עוטף עזה</t>
        </is>
      </c>
      <c r="F109" t="inlineStr">
        <is>
          <t>עוטף עזה / הנגב המערבי</t>
        </is>
      </c>
      <c r="G109" t="n">
        <v>20</v>
      </c>
      <c r="H109" s="6" t="n">
        <v>150000</v>
      </c>
      <c r="I109" s="13" t="n">
        <v>8000</v>
      </c>
      <c r="J109" s="13" t="n">
        <v>800</v>
      </c>
      <c r="K109" t="n">
        <v>80</v>
      </c>
      <c r="L109" t="n">
        <v>15.6</v>
      </c>
      <c r="M109" t="inlineStr"/>
    </row>
    <row r="110">
      <c r="A110" s="14" t="n">
        <v>111</v>
      </c>
      <c r="B110" s="15" t="n">
        <v>31.44208</v>
      </c>
      <c r="C110" s="15" t="n">
        <v>34.73386</v>
      </c>
      <c r="D110" s="14" t="inlineStr">
        <is>
          <t>293</t>
        </is>
      </c>
      <c r="E110" s="14" t="inlineStr">
        <is>
          <t>עוטף עזה</t>
        </is>
      </c>
      <c r="F110" s="14" t="inlineStr">
        <is>
          <t>עוטף עזה / הנגב המערבי</t>
        </is>
      </c>
      <c r="G110" s="14" t="n">
        <v>12</v>
      </c>
      <c r="H110" s="16" t="n">
        <v>100000</v>
      </c>
      <c r="I110" s="17" t="n">
        <v>4000</v>
      </c>
      <c r="J110" s="17" t="n">
        <v>400</v>
      </c>
      <c r="K110" s="14" t="n">
        <v>60</v>
      </c>
      <c r="L110" s="14" t="n">
        <v>7.8</v>
      </c>
      <c r="M110" s="14" t="n">
        <v>273</v>
      </c>
    </row>
    <row r="111">
      <c r="A111" t="n">
        <v>112</v>
      </c>
      <c r="B111" s="12" t="n">
        <v>32.86207</v>
      </c>
      <c r="C111" s="12" t="n">
        <v>35.33649</v>
      </c>
      <c r="D111" t="inlineStr">
        <is>
          <t>804</t>
        </is>
      </c>
      <c r="E111" t="inlineStr">
        <is>
          <t>רגיל</t>
        </is>
      </c>
      <c r="F111" t="inlineStr">
        <is>
          <t>חיפה / כרמל</t>
        </is>
      </c>
      <c r="G111" t="n">
        <v>20</v>
      </c>
      <c r="H111" s="6" t="n">
        <v>150000</v>
      </c>
      <c r="I111" s="13" t="n">
        <v>8000</v>
      </c>
      <c r="J111" s="13" t="n">
        <v>800</v>
      </c>
      <c r="K111" t="n">
        <v>80</v>
      </c>
      <c r="L111" t="n">
        <v>15.6</v>
      </c>
      <c r="M111" t="n">
        <v>9612</v>
      </c>
    </row>
    <row r="112">
      <c r="A112" s="14" t="n">
        <v>113</v>
      </c>
      <c r="B112" s="15" t="n">
        <v>31.62023</v>
      </c>
      <c r="C112" s="15" t="n">
        <v>34.76931</v>
      </c>
      <c r="D112" s="14" t="inlineStr">
        <is>
          <t>35</t>
        </is>
      </c>
      <c r="E112" s="14" t="inlineStr">
        <is>
          <t>רגיל</t>
        </is>
      </c>
      <c r="F112" s="14" t="inlineStr">
        <is>
          <t>ירושלים / שפלה</t>
        </is>
      </c>
      <c r="G112" s="14" t="n">
        <v>30</v>
      </c>
      <c r="H112" s="16" t="n">
        <v>200000</v>
      </c>
      <c r="I112" s="17" t="n">
        <v>11000</v>
      </c>
      <c r="J112" s="17" t="n">
        <v>1100</v>
      </c>
      <c r="K112" s="14" t="n">
        <v>90</v>
      </c>
      <c r="L112" s="14" t="n">
        <v>21.4</v>
      </c>
      <c r="M112" s="14" t="n">
        <v>3110</v>
      </c>
    </row>
    <row r="113">
      <c r="A113" t="n">
        <v>114</v>
      </c>
      <c r="B113" s="12" t="n">
        <v>32.04668</v>
      </c>
      <c r="C113" s="12" t="n">
        <v>34.78355</v>
      </c>
      <c r="D113" t="inlineStr">
        <is>
          <t>איילון דרום</t>
        </is>
      </c>
      <c r="E113" t="inlineStr">
        <is>
          <t>רגיל</t>
        </is>
      </c>
      <c r="F113" t="inlineStr">
        <is>
          <t>מרכז (שרון / גוש דן)</t>
        </is>
      </c>
      <c r="G113" t="n">
        <v>50</v>
      </c>
      <c r="H113" s="6" t="n">
        <v>250000</v>
      </c>
      <c r="I113" s="13" t="n">
        <v>13000</v>
      </c>
      <c r="J113" s="13" t="n">
        <v>1300</v>
      </c>
      <c r="K113" t="n">
        <v>90</v>
      </c>
      <c r="L113" t="n">
        <v>25.4</v>
      </c>
      <c r="M113" t="n">
        <v>29500</v>
      </c>
    </row>
    <row r="114">
      <c r="A114" s="14" t="n">
        <v>115</v>
      </c>
      <c r="B114" s="15" t="n">
        <v>31.77691</v>
      </c>
      <c r="C114" s="15" t="n">
        <v>35.04577</v>
      </c>
      <c r="D114" s="14" t="inlineStr">
        <is>
          <t>395</t>
        </is>
      </c>
      <c r="E114" s="14" t="inlineStr">
        <is>
          <t>רגיל</t>
        </is>
      </c>
      <c r="F114" s="14" t="inlineStr">
        <is>
          <t>ירושלים / שפלה</t>
        </is>
      </c>
      <c r="G114" s="14" t="n">
        <v>30</v>
      </c>
      <c r="H114" s="16" t="n">
        <v>200000</v>
      </c>
      <c r="I114" s="17" t="n">
        <v>8000</v>
      </c>
      <c r="J114" s="17" t="n">
        <v>800</v>
      </c>
      <c r="K114" s="14" t="n">
        <v>80</v>
      </c>
      <c r="L114" s="14" t="n">
        <v>15.6</v>
      </c>
      <c r="M114" s="14" t="n">
        <v>28965</v>
      </c>
    </row>
    <row r="115">
      <c r="A115" t="n">
        <v>116</v>
      </c>
      <c r="B115" s="12" t="n">
        <v>32.83053</v>
      </c>
      <c r="C115" s="12" t="n">
        <v>34.96672</v>
      </c>
      <c r="D115" t="inlineStr">
        <is>
          <t>ההגנה</t>
        </is>
      </c>
      <c r="E115" t="inlineStr">
        <is>
          <t>רגיל</t>
        </is>
      </c>
      <c r="F115" t="inlineStr">
        <is>
          <t>חיפה / כרמל</t>
        </is>
      </c>
      <c r="G115" t="n">
        <v>20</v>
      </c>
      <c r="H115" s="6" t="n">
        <v>150000</v>
      </c>
      <c r="I115" s="13" t="n">
        <v>8000</v>
      </c>
      <c r="J115" s="13" t="n">
        <v>800</v>
      </c>
      <c r="K115" t="n">
        <v>70</v>
      </c>
      <c r="L115" t="n">
        <v>15.6</v>
      </c>
      <c r="M115" t="n">
        <v>4723</v>
      </c>
    </row>
    <row r="116">
      <c r="A116" s="14" t="n">
        <v>117</v>
      </c>
      <c r="B116" s="15" t="n">
        <v>32.80251</v>
      </c>
      <c r="C116" s="15" t="n">
        <v>35.25323</v>
      </c>
      <c r="D116" s="14" t="inlineStr">
        <is>
          <t>784</t>
        </is>
      </c>
      <c r="E116" s="14" t="inlineStr">
        <is>
          <t>רגיל</t>
        </is>
      </c>
      <c r="F116" s="14" t="inlineStr">
        <is>
          <t>חיפה / כרמל</t>
        </is>
      </c>
      <c r="G116" s="14" t="n">
        <v>20</v>
      </c>
      <c r="H116" s="16" t="n">
        <v>150000</v>
      </c>
      <c r="I116" s="17" t="n">
        <v>8000</v>
      </c>
      <c r="J116" s="17" t="n">
        <v>800</v>
      </c>
      <c r="K116" s="14" t="n">
        <v>80</v>
      </c>
      <c r="L116" s="14" t="n">
        <v>15.6</v>
      </c>
      <c r="M116" s="14" t="n">
        <v>10861</v>
      </c>
    </row>
    <row r="117">
      <c r="A117" t="n">
        <v>118</v>
      </c>
      <c r="B117" s="12" t="n">
        <v>32.78423</v>
      </c>
      <c r="C117" s="12" t="n">
        <v>35.07705</v>
      </c>
      <c r="D117" t="inlineStr">
        <is>
          <t>דשנים</t>
        </is>
      </c>
      <c r="E117" t="inlineStr">
        <is>
          <t>רגיל</t>
        </is>
      </c>
      <c r="F117" t="inlineStr">
        <is>
          <t>חיפה / כרמל</t>
        </is>
      </c>
      <c r="G117" t="n">
        <v>12</v>
      </c>
      <c r="H117" s="6" t="n">
        <v>100000</v>
      </c>
      <c r="I117" s="13" t="n">
        <v>4000</v>
      </c>
      <c r="J117" s="13" t="n">
        <v>400</v>
      </c>
      <c r="K117" t="n">
        <v>80</v>
      </c>
      <c r="L117" t="n">
        <v>7.8</v>
      </c>
      <c r="M117" t="n">
        <v>8227</v>
      </c>
    </row>
    <row r="118">
      <c r="A118" s="14" t="n">
        <v>119</v>
      </c>
      <c r="B118" s="15" t="n">
        <v>32.20918</v>
      </c>
      <c r="C118" s="15" t="n">
        <v>34.83571</v>
      </c>
      <c r="D118" s="14" t="inlineStr">
        <is>
          <t>איילון דרום</t>
        </is>
      </c>
      <c r="E118" s="14" t="inlineStr">
        <is>
          <t>רגיל</t>
        </is>
      </c>
      <c r="F118" s="14" t="inlineStr">
        <is>
          <t>מרכז (שרון / גוש דן)</t>
        </is>
      </c>
      <c r="G118" s="14" t="n">
        <v>30</v>
      </c>
      <c r="H118" s="16" t="n">
        <v>200000</v>
      </c>
      <c r="I118" s="17" t="n">
        <v>8000</v>
      </c>
      <c r="J118" s="17" t="n">
        <v>800</v>
      </c>
      <c r="K118" s="14" t="n">
        <v>80</v>
      </c>
      <c r="L118" s="14" t="n">
        <v>15.6</v>
      </c>
      <c r="M118" s="14" t="n">
        <v>28110</v>
      </c>
    </row>
    <row r="119">
      <c r="A119" t="n">
        <v>120</v>
      </c>
      <c r="B119" s="12" t="n">
        <v>32.96769</v>
      </c>
      <c r="C119" s="12" t="n">
        <v>35.55054</v>
      </c>
      <c r="D119" t="inlineStr">
        <is>
          <t>90</t>
        </is>
      </c>
      <c r="E119" t="inlineStr">
        <is>
          <t>רגיל</t>
        </is>
      </c>
      <c r="F119" t="inlineStr">
        <is>
          <t>חיפה / כרמל</t>
        </is>
      </c>
      <c r="G119" t="n">
        <v>20</v>
      </c>
      <c r="H119" s="6" t="n">
        <v>150000</v>
      </c>
      <c r="I119" s="13" t="n">
        <v>9000</v>
      </c>
      <c r="J119" s="13" t="n">
        <v>900</v>
      </c>
      <c r="K119" t="n">
        <v>90</v>
      </c>
      <c r="L119" t="n">
        <v>17.6</v>
      </c>
      <c r="M119" t="n">
        <v>4889</v>
      </c>
    </row>
    <row r="120">
      <c r="A120" s="14" t="n">
        <v>121</v>
      </c>
      <c r="B120" s="15" t="n">
        <v>31.42211</v>
      </c>
      <c r="C120" s="15" t="n">
        <v>34.75408</v>
      </c>
      <c r="D120" s="14" t="inlineStr">
        <is>
          <t>264</t>
        </is>
      </c>
      <c r="E120" s="14" t="inlineStr">
        <is>
          <t>עוטף עזה</t>
        </is>
      </c>
      <c r="F120" s="14" t="inlineStr">
        <is>
          <t>עוטף עזה / הנגב המערבי</t>
        </is>
      </c>
      <c r="G120" s="14" t="n">
        <v>20</v>
      </c>
      <c r="H120" s="16" t="n">
        <v>150000</v>
      </c>
      <c r="I120" s="17" t="n">
        <v>8000</v>
      </c>
      <c r="J120" s="17" t="n">
        <v>800</v>
      </c>
      <c r="K120" s="14" t="n">
        <v>90</v>
      </c>
      <c r="L120" s="14" t="n">
        <v>15.6</v>
      </c>
      <c r="M120" s="14" t="n">
        <v>273</v>
      </c>
    </row>
    <row r="121">
      <c r="A121" t="n">
        <v>122</v>
      </c>
      <c r="B121" s="12" t="n">
        <v>32.7896</v>
      </c>
      <c r="C121" s="12" t="n">
        <v>35.02673</v>
      </c>
      <c r="D121" t="inlineStr">
        <is>
          <t>4</t>
        </is>
      </c>
      <c r="E121" t="inlineStr">
        <is>
          <t>רגיל</t>
        </is>
      </c>
      <c r="F121" t="inlineStr">
        <is>
          <t>חיפה / כרמל</t>
        </is>
      </c>
      <c r="G121" t="n">
        <v>12</v>
      </c>
      <c r="H121" s="6" t="n">
        <v>100000</v>
      </c>
      <c r="I121" s="13" t="n">
        <v>4000</v>
      </c>
      <c r="J121" s="13" t="n">
        <v>400</v>
      </c>
      <c r="K121" t="n">
        <v>80</v>
      </c>
      <c r="L121" t="n">
        <v>7.8</v>
      </c>
      <c r="M121" t="n">
        <v>7107</v>
      </c>
    </row>
    <row r="122">
      <c r="A122" s="14" t="n">
        <v>123</v>
      </c>
      <c r="B122" s="15" t="n">
        <v>31.27117</v>
      </c>
      <c r="C122" s="15" t="n">
        <v>34.73814</v>
      </c>
      <c r="D122" s="14" t="inlineStr">
        <is>
          <t>25</t>
        </is>
      </c>
      <c r="E122" s="14" t="inlineStr">
        <is>
          <t>עוטף עזה</t>
        </is>
      </c>
      <c r="F122" s="14" t="inlineStr">
        <is>
          <t>עוטף עזה / הנגב המערבי</t>
        </is>
      </c>
      <c r="G122" s="14" t="n">
        <v>20</v>
      </c>
      <c r="H122" s="16" t="n">
        <v>150000</v>
      </c>
      <c r="I122" s="17" t="n">
        <v>7000</v>
      </c>
      <c r="J122" s="17" t="n">
        <v>700</v>
      </c>
      <c r="K122" s="14" t="n">
        <v>90</v>
      </c>
      <c r="L122" s="14" t="n">
        <v>13.7</v>
      </c>
      <c r="M122" s="14" t="n">
        <v>789</v>
      </c>
    </row>
    <row r="123">
      <c r="A123" t="n">
        <v>124</v>
      </c>
      <c r="B123" s="12" t="n">
        <v>31.50595</v>
      </c>
      <c r="C123" s="12" t="n">
        <v>34.78295</v>
      </c>
      <c r="D123" t="inlineStr">
        <is>
          <t>כביש חוצה ישראל</t>
        </is>
      </c>
      <c r="E123" t="inlineStr">
        <is>
          <t>עוטף עזה</t>
        </is>
      </c>
      <c r="F123" t="inlineStr">
        <is>
          <t>עוטף עזה / הנגב המערבי</t>
        </is>
      </c>
      <c r="G123" t="n">
        <v>20</v>
      </c>
      <c r="H123" s="6" t="n">
        <v>150000</v>
      </c>
      <c r="I123" s="13" t="n">
        <v>8000</v>
      </c>
      <c r="J123" s="13" t="n">
        <v>800</v>
      </c>
      <c r="K123" t="n">
        <v>110</v>
      </c>
      <c r="L123" t="n">
        <v>15.6</v>
      </c>
      <c r="M123" t="n">
        <v>1591</v>
      </c>
    </row>
    <row r="124">
      <c r="A124" s="14" t="n">
        <v>125</v>
      </c>
      <c r="B124" s="15" t="n">
        <v>31.82447</v>
      </c>
      <c r="C124" s="15" t="n">
        <v>35.12793</v>
      </c>
      <c r="D124" s="14" t="inlineStr">
        <is>
          <t>הראל</t>
        </is>
      </c>
      <c r="E124" s="14" t="inlineStr">
        <is>
          <t>רגיל</t>
        </is>
      </c>
      <c r="F124" s="14" t="inlineStr">
        <is>
          <t>ירושלים / שפלה</t>
        </is>
      </c>
      <c r="G124" s="14" t="n">
        <v>30</v>
      </c>
      <c r="H124" s="16" t="n">
        <v>200000</v>
      </c>
      <c r="I124" s="17" t="n">
        <v>8000</v>
      </c>
      <c r="J124" s="17" t="n">
        <v>800</v>
      </c>
      <c r="K124" s="14" t="n">
        <v>80</v>
      </c>
      <c r="L124" s="14" t="n">
        <v>15.6</v>
      </c>
      <c r="M124" s="14" t="n">
        <v>26858</v>
      </c>
    </row>
    <row r="125">
      <c r="A125" t="n">
        <v>126</v>
      </c>
      <c r="B125" s="12" t="n">
        <v>32.94526</v>
      </c>
      <c r="C125" s="12" t="n">
        <v>35.5093</v>
      </c>
      <c r="D125" t="inlineStr">
        <is>
          <t>89</t>
        </is>
      </c>
      <c r="E125" t="inlineStr">
        <is>
          <t>רגיל</t>
        </is>
      </c>
      <c r="F125" t="inlineStr">
        <is>
          <t>חיפה / כרמל</t>
        </is>
      </c>
      <c r="G125" t="n">
        <v>20</v>
      </c>
      <c r="H125" s="6" t="n">
        <v>150000</v>
      </c>
      <c r="I125" s="13" t="n">
        <v>9000</v>
      </c>
      <c r="J125" s="13" t="n">
        <v>900</v>
      </c>
      <c r="K125" t="n">
        <v>90</v>
      </c>
      <c r="L125" t="n">
        <v>17.6</v>
      </c>
      <c r="M125" t="n">
        <v>4665</v>
      </c>
    </row>
    <row r="126">
      <c r="A126" s="14" t="n">
        <v>127</v>
      </c>
      <c r="B126" s="15" t="n">
        <v>31.52805</v>
      </c>
      <c r="C126" s="15" t="n">
        <v>34.79036</v>
      </c>
      <c r="D126" s="14" t="inlineStr">
        <is>
          <t>כביש חוצה ישראל</t>
        </is>
      </c>
      <c r="E126" s="14" t="inlineStr">
        <is>
          <t>עוטף עזה</t>
        </is>
      </c>
      <c r="F126" s="14" t="inlineStr">
        <is>
          <t>עוטף עזה / הנגב המערבי</t>
        </is>
      </c>
      <c r="G126" s="14" t="n">
        <v>20</v>
      </c>
      <c r="H126" s="16" t="n">
        <v>150000</v>
      </c>
      <c r="I126" s="17" t="n">
        <v>8000</v>
      </c>
      <c r="J126" s="17" t="n">
        <v>800</v>
      </c>
      <c r="K126" s="14" t="n">
        <v>110</v>
      </c>
      <c r="L126" s="14" t="n">
        <v>15.6</v>
      </c>
      <c r="M126" s="14" t="n">
        <v>1839</v>
      </c>
    </row>
    <row r="127">
      <c r="A127" t="n">
        <v>128</v>
      </c>
      <c r="B127" s="12" t="n">
        <v>31.44007</v>
      </c>
      <c r="C127" s="12" t="n">
        <v>34.7721</v>
      </c>
      <c r="D127" t="inlineStr">
        <is>
          <t>כביש חוצה ישראל</t>
        </is>
      </c>
      <c r="E127" t="inlineStr">
        <is>
          <t>עוטף עזה</t>
        </is>
      </c>
      <c r="F127" t="inlineStr">
        <is>
          <t>עוטף עזה / הנגב המערבי</t>
        </is>
      </c>
      <c r="G127" t="n">
        <v>20</v>
      </c>
      <c r="H127" s="6" t="n">
        <v>150000</v>
      </c>
      <c r="I127" s="13" t="n">
        <v>8000</v>
      </c>
      <c r="J127" s="13" t="n">
        <v>800</v>
      </c>
      <c r="K127" t="n">
        <v>110</v>
      </c>
      <c r="L127" t="n">
        <v>15.6</v>
      </c>
      <c r="M127" t="n">
        <v>273</v>
      </c>
    </row>
    <row r="128">
      <c r="A128" s="14" t="n">
        <v>129</v>
      </c>
      <c r="B128" s="15" t="n">
        <v>32.76244</v>
      </c>
      <c r="C128" s="15" t="n">
        <v>35.11946</v>
      </c>
      <c r="D128" s="14" t="inlineStr">
        <is>
          <t>כביש חוצה ישראל</t>
        </is>
      </c>
      <c r="E128" s="14" t="inlineStr">
        <is>
          <t>רגיל</t>
        </is>
      </c>
      <c r="F128" s="14" t="inlineStr">
        <is>
          <t>חיפה / כרמל</t>
        </is>
      </c>
      <c r="G128" s="14" t="n">
        <v>20</v>
      </c>
      <c r="H128" s="16" t="n">
        <v>150000</v>
      </c>
      <c r="I128" s="17" t="n">
        <v>8000</v>
      </c>
      <c r="J128" s="17" t="n">
        <v>800</v>
      </c>
      <c r="K128" s="14" t="n">
        <v>100</v>
      </c>
      <c r="L128" s="14" t="n">
        <v>15.6</v>
      </c>
      <c r="M128" s="14" t="n">
        <v>9128</v>
      </c>
    </row>
    <row r="129">
      <c r="A129" t="n">
        <v>130</v>
      </c>
      <c r="B129" s="12" t="n">
        <v>31.36963</v>
      </c>
      <c r="C129" s="12" t="n">
        <v>34.77829</v>
      </c>
      <c r="D129" t="inlineStr">
        <is>
          <t>310</t>
        </is>
      </c>
      <c r="E129" t="inlineStr">
        <is>
          <t>עוטף עזה</t>
        </is>
      </c>
      <c r="F129" t="inlineStr">
        <is>
          <t>עוטף עזה / הנגב המערבי</t>
        </is>
      </c>
      <c r="G129" t="n">
        <v>12</v>
      </c>
      <c r="H129" s="6" t="n">
        <v>100000</v>
      </c>
      <c r="I129" s="13" t="n">
        <v>4000</v>
      </c>
      <c r="J129" s="13" t="n">
        <v>400</v>
      </c>
      <c r="K129" t="n">
        <v>90</v>
      </c>
      <c r="L129" t="n">
        <v>7.8</v>
      </c>
      <c r="M129" t="n">
        <v>1062</v>
      </c>
    </row>
    <row r="130">
      <c r="A130" s="14" t="n">
        <v>131</v>
      </c>
      <c r="B130" s="15" t="n">
        <v>32.88118</v>
      </c>
      <c r="C130" s="15" t="n">
        <v>35.42518</v>
      </c>
      <c r="D130" s="14" t="inlineStr">
        <is>
          <t>807</t>
        </is>
      </c>
      <c r="E130" s="14" t="inlineStr">
        <is>
          <t>רגיל</t>
        </is>
      </c>
      <c r="F130" s="14" t="inlineStr">
        <is>
          <t>חיפה / כרמל</t>
        </is>
      </c>
      <c r="G130" s="14" t="n">
        <v>20</v>
      </c>
      <c r="H130" s="16" t="n">
        <v>150000</v>
      </c>
      <c r="I130" s="17" t="n">
        <v>8000</v>
      </c>
      <c r="J130" s="17" t="n">
        <v>800</v>
      </c>
      <c r="K130" s="14" t="n">
        <v>80</v>
      </c>
      <c r="L130" s="14" t="n">
        <v>15.6</v>
      </c>
      <c r="M130" s="14" t="n">
        <v>5902</v>
      </c>
    </row>
    <row r="131">
      <c r="A131" t="n">
        <v>132</v>
      </c>
      <c r="B131" s="12" t="n">
        <v>31.42223</v>
      </c>
      <c r="C131" s="12" t="n">
        <v>34.78851</v>
      </c>
      <c r="D131" t="inlineStr">
        <is>
          <t>325</t>
        </is>
      </c>
      <c r="E131" t="inlineStr">
        <is>
          <t>עוטף עזה</t>
        </is>
      </c>
      <c r="F131" t="inlineStr">
        <is>
          <t>עוטף עזה / הנגב המערבי</t>
        </is>
      </c>
      <c r="G131" t="n">
        <v>20</v>
      </c>
      <c r="H131" s="6" t="n">
        <v>150000</v>
      </c>
      <c r="I131" s="13" t="n">
        <v>8000</v>
      </c>
      <c r="J131" s="13" t="n">
        <v>800</v>
      </c>
      <c r="K131" t="n">
        <v>80</v>
      </c>
      <c r="L131" t="n">
        <v>15.6</v>
      </c>
      <c r="M131" t="n">
        <v>524</v>
      </c>
    </row>
    <row r="132">
      <c r="A132" s="14" t="n">
        <v>133</v>
      </c>
      <c r="B132" s="15" t="n">
        <v>31.59898</v>
      </c>
      <c r="C132" s="15" t="n">
        <v>34.81294</v>
      </c>
      <c r="D132" s="14" t="inlineStr">
        <is>
          <t>כביש חוצה ישראל</t>
        </is>
      </c>
      <c r="E132" s="14" t="inlineStr">
        <is>
          <t>עוטף עזה</t>
        </is>
      </c>
      <c r="F132" s="14" t="inlineStr">
        <is>
          <t>עוטף עזה / הנגב המערבי</t>
        </is>
      </c>
      <c r="G132" s="14" t="n">
        <v>20</v>
      </c>
      <c r="H132" s="16" t="n">
        <v>150000</v>
      </c>
      <c r="I132" s="17" t="n">
        <v>8000</v>
      </c>
      <c r="J132" s="17" t="n">
        <v>800</v>
      </c>
      <c r="K132" s="14" t="n">
        <v>110</v>
      </c>
      <c r="L132" s="14" t="n">
        <v>15.6</v>
      </c>
      <c r="M132" s="14" t="n">
        <v>2062</v>
      </c>
    </row>
    <row r="133">
      <c r="A133" t="n">
        <v>134</v>
      </c>
      <c r="B133" s="12" t="n">
        <v>32.90877</v>
      </c>
      <c r="C133" s="12" t="n">
        <v>35.473</v>
      </c>
      <c r="D133" t="inlineStr">
        <is>
          <t>65</t>
        </is>
      </c>
      <c r="E133" t="inlineStr">
        <is>
          <t>רגיל</t>
        </is>
      </c>
      <c r="F133" t="inlineStr">
        <is>
          <t>חיפה / כרמל</t>
        </is>
      </c>
      <c r="G133" t="n">
        <v>50</v>
      </c>
      <c r="H133" s="6" t="n">
        <v>250000</v>
      </c>
      <c r="I133" s="13" t="n">
        <v>24000</v>
      </c>
      <c r="J133" s="13" t="n">
        <v>2400</v>
      </c>
      <c r="K133" t="n">
        <v>80</v>
      </c>
      <c r="L133" t="n">
        <v>46.8</v>
      </c>
      <c r="M133" t="n">
        <v>4652</v>
      </c>
    </row>
    <row r="134">
      <c r="A134" s="14" t="n">
        <v>135</v>
      </c>
      <c r="B134" s="15" t="n">
        <v>32.77882</v>
      </c>
      <c r="C134" s="15" t="n">
        <v>34.99367</v>
      </c>
      <c r="D134" s="14" t="inlineStr">
        <is>
          <t>אבא חושי</t>
        </is>
      </c>
      <c r="E134" s="14" t="inlineStr">
        <is>
          <t>רגיל</t>
        </is>
      </c>
      <c r="F134" s="14" t="inlineStr">
        <is>
          <t>חיפה / כרמל</t>
        </is>
      </c>
      <c r="G134" s="14" t="n">
        <v>20</v>
      </c>
      <c r="H134" s="16" t="n">
        <v>150000</v>
      </c>
      <c r="I134" s="17" t="n">
        <v>8000</v>
      </c>
      <c r="J134" s="17" t="n">
        <v>800</v>
      </c>
      <c r="K134" s="14" t="n">
        <v>80</v>
      </c>
      <c r="L134" s="14" t="n">
        <v>15.6</v>
      </c>
      <c r="M134" s="14" t="n">
        <v>5476</v>
      </c>
    </row>
    <row r="135">
      <c r="A135" t="n">
        <v>136</v>
      </c>
      <c r="B135" s="12" t="n">
        <v>31.34575</v>
      </c>
      <c r="C135" s="12" t="n">
        <v>34.79056</v>
      </c>
      <c r="D135" t="inlineStr">
        <is>
          <t>40</t>
        </is>
      </c>
      <c r="E135" t="inlineStr">
        <is>
          <t>עוטף עזה</t>
        </is>
      </c>
      <c r="F135" t="inlineStr">
        <is>
          <t>עוטף עזה / הנגב המערבי</t>
        </is>
      </c>
      <c r="G135" t="n">
        <v>50</v>
      </c>
      <c r="H135" s="6" t="n">
        <v>250000</v>
      </c>
      <c r="I135" s="13" t="n">
        <v>22000</v>
      </c>
      <c r="J135" s="13" t="n">
        <v>2200</v>
      </c>
      <c r="K135" t="n">
        <v>90</v>
      </c>
      <c r="L135" t="n">
        <v>42.9</v>
      </c>
      <c r="M135" t="n">
        <v>1062</v>
      </c>
    </row>
    <row r="136">
      <c r="A136" s="14" t="n">
        <v>137</v>
      </c>
      <c r="B136" s="15" t="n">
        <v>31.25352</v>
      </c>
      <c r="C136" s="15" t="n">
        <v>34.76485</v>
      </c>
      <c r="D136" s="14" t="inlineStr">
        <is>
          <t>שדרות דוד טוביהו</t>
        </is>
      </c>
      <c r="E136" s="14" t="inlineStr">
        <is>
          <t>עוטף עזה</t>
        </is>
      </c>
      <c r="F136" s="14" t="inlineStr">
        <is>
          <t>עוטף עזה / הנגב המערבי</t>
        </is>
      </c>
      <c r="G136" s="14" t="n">
        <v>20</v>
      </c>
      <c r="H136" s="16" t="n">
        <v>150000</v>
      </c>
      <c r="I136" s="17" t="n">
        <v>8000</v>
      </c>
      <c r="J136" s="17" t="n">
        <v>800</v>
      </c>
      <c r="K136" s="14" t="n">
        <v>70</v>
      </c>
      <c r="L136" s="14" t="n">
        <v>15.6</v>
      </c>
      <c r="M136" s="14" t="n">
        <v>789</v>
      </c>
    </row>
    <row r="137">
      <c r="A137" t="n">
        <v>138</v>
      </c>
      <c r="B137" s="12" t="n">
        <v>32.79253</v>
      </c>
      <c r="C137" s="12" t="n">
        <v>34.95915</v>
      </c>
      <c r="D137" t="inlineStr">
        <is>
          <t>כביש החוף</t>
        </is>
      </c>
      <c r="E137" t="inlineStr">
        <is>
          <t>רגיל</t>
        </is>
      </c>
      <c r="F137" t="inlineStr">
        <is>
          <t>חיפה / כרמל</t>
        </is>
      </c>
      <c r="G137" t="n">
        <v>20</v>
      </c>
      <c r="H137" s="6" t="n">
        <v>150000</v>
      </c>
      <c r="I137" s="13" t="n">
        <v>8000</v>
      </c>
      <c r="J137" s="13" t="n">
        <v>800</v>
      </c>
      <c r="K137" t="n">
        <v>70</v>
      </c>
      <c r="L137" t="n">
        <v>15.6</v>
      </c>
      <c r="M137" t="n">
        <v>4303</v>
      </c>
    </row>
    <row r="138">
      <c r="A138" s="14" t="n">
        <v>139</v>
      </c>
      <c r="B138" s="15" t="n">
        <v>32.76785</v>
      </c>
      <c r="C138" s="15" t="n">
        <v>35.22805</v>
      </c>
      <c r="D138" s="14" t="inlineStr">
        <is>
          <t>784</t>
        </is>
      </c>
      <c r="E138" s="14" t="inlineStr">
        <is>
          <t>רגיל</t>
        </is>
      </c>
      <c r="F138" s="14" t="inlineStr">
        <is>
          <t>חיפה / כרמל</t>
        </is>
      </c>
      <c r="G138" s="14" t="n">
        <v>20</v>
      </c>
      <c r="H138" s="16" t="n">
        <v>150000</v>
      </c>
      <c r="I138" s="17" t="n">
        <v>8000</v>
      </c>
      <c r="J138" s="17" t="n">
        <v>800</v>
      </c>
      <c r="K138" s="14" t="n">
        <v>80</v>
      </c>
      <c r="L138" s="14" t="n">
        <v>15.6</v>
      </c>
      <c r="M138" s="14" t="n">
        <v>8545</v>
      </c>
    </row>
    <row r="139">
      <c r="A139" t="n">
        <v>140</v>
      </c>
      <c r="B139" s="12" t="n">
        <v>32.74876</v>
      </c>
      <c r="C139" s="12" t="n">
        <v>35.07656</v>
      </c>
      <c r="D139" t="inlineStr">
        <is>
          <t>דרך העמקים</t>
        </is>
      </c>
      <c r="E139" t="inlineStr">
        <is>
          <t>רגיל</t>
        </is>
      </c>
      <c r="F139" t="inlineStr">
        <is>
          <t>חיפה / כרמל</t>
        </is>
      </c>
      <c r="G139" t="n">
        <v>50</v>
      </c>
      <c r="H139" s="6" t="n">
        <v>250000</v>
      </c>
      <c r="I139" s="13" t="n">
        <v>20000</v>
      </c>
      <c r="J139" s="13" t="n">
        <v>2000</v>
      </c>
      <c r="K139" t="n">
        <v>90</v>
      </c>
      <c r="L139" t="n">
        <v>39</v>
      </c>
      <c r="M139" t="n">
        <v>7226</v>
      </c>
    </row>
    <row r="140">
      <c r="A140" s="14" t="n">
        <v>141</v>
      </c>
      <c r="B140" s="15" t="n">
        <v>31.74651</v>
      </c>
      <c r="C140" s="15" t="n">
        <v>35.07828</v>
      </c>
      <c r="D140" s="14" t="inlineStr">
        <is>
          <t>386</t>
        </is>
      </c>
      <c r="E140" s="14" t="inlineStr">
        <is>
          <t>רגיל</t>
        </is>
      </c>
      <c r="F140" s="14" t="inlineStr">
        <is>
          <t>ירושלים / שפלה</t>
        </is>
      </c>
      <c r="G140" s="14" t="n">
        <v>30</v>
      </c>
      <c r="H140" s="16" t="n">
        <v>200000</v>
      </c>
      <c r="I140" s="17" t="n">
        <v>8000</v>
      </c>
      <c r="J140" s="17" t="n">
        <v>800</v>
      </c>
      <c r="K140" s="14" t="n">
        <v>80</v>
      </c>
      <c r="L140" s="14" t="n">
        <v>15.6</v>
      </c>
      <c r="M140" s="14" t="n">
        <v>22712</v>
      </c>
    </row>
    <row r="141">
      <c r="A141" t="n">
        <v>142</v>
      </c>
      <c r="B141" s="12" t="n">
        <v>32.9254</v>
      </c>
      <c r="C141" s="12" t="n">
        <v>35.54377</v>
      </c>
      <c r="D141" t="inlineStr">
        <is>
          <t>90</t>
        </is>
      </c>
      <c r="E141" t="inlineStr">
        <is>
          <t>רגיל</t>
        </is>
      </c>
      <c r="F141" t="inlineStr">
        <is>
          <t>חיפה / כרמל</t>
        </is>
      </c>
      <c r="G141" t="n">
        <v>20</v>
      </c>
      <c r="H141" s="6" t="n">
        <v>150000</v>
      </c>
      <c r="I141" s="13" t="n">
        <v>9000</v>
      </c>
      <c r="J141" s="13" t="n">
        <v>900</v>
      </c>
      <c r="K141" t="n">
        <v>90</v>
      </c>
      <c r="L141" t="n">
        <v>17.6</v>
      </c>
      <c r="M141" t="n">
        <v>3926</v>
      </c>
    </row>
    <row r="142">
      <c r="A142" s="14" t="n">
        <v>143</v>
      </c>
      <c r="B142" s="15" t="n">
        <v>32.26886</v>
      </c>
      <c r="C142" s="15" t="n">
        <v>34.84313</v>
      </c>
      <c r="D142" s="14" t="inlineStr">
        <is>
          <t>כביש החוף</t>
        </is>
      </c>
      <c r="E142" s="14" t="inlineStr">
        <is>
          <t>רגיל</t>
        </is>
      </c>
      <c r="F142" s="14" t="inlineStr">
        <is>
          <t>מרכז (שרון / גוש דן)</t>
        </is>
      </c>
      <c r="G142" s="14" t="n">
        <v>50</v>
      </c>
      <c r="H142" s="16" t="n">
        <v>250000</v>
      </c>
      <c r="I142" s="17" t="n">
        <v>18000</v>
      </c>
      <c r="J142" s="17" t="n">
        <v>1800</v>
      </c>
      <c r="K142" s="14" t="n">
        <v>90</v>
      </c>
      <c r="L142" s="14" t="n">
        <v>35.1</v>
      </c>
      <c r="M142" s="14" t="n">
        <v>21692</v>
      </c>
    </row>
    <row r="143">
      <c r="A143" t="n">
        <v>144</v>
      </c>
      <c r="B143" s="12" t="n">
        <v>31.68525</v>
      </c>
      <c r="C143" s="12" t="n">
        <v>34.90946</v>
      </c>
      <c r="D143" t="inlineStr">
        <is>
          <t>353</t>
        </is>
      </c>
      <c r="E143" t="inlineStr">
        <is>
          <t>רגיל</t>
        </is>
      </c>
      <c r="F143" t="inlineStr">
        <is>
          <t>ירושלים / שפלה</t>
        </is>
      </c>
      <c r="G143" t="n">
        <v>20</v>
      </c>
      <c r="H143" s="6" t="n">
        <v>150000</v>
      </c>
      <c r="I143" s="13" t="n">
        <v>8000</v>
      </c>
      <c r="J143" s="13" t="n">
        <v>800</v>
      </c>
      <c r="K143" t="n">
        <v>80</v>
      </c>
      <c r="L143" t="n">
        <v>15.6</v>
      </c>
      <c r="M143" t="n">
        <v>10069</v>
      </c>
    </row>
    <row r="144">
      <c r="A144" s="14" t="n">
        <v>145</v>
      </c>
      <c r="B144" s="15" t="n">
        <v>32.84316</v>
      </c>
      <c r="C144" s="15" t="n">
        <v>35.39883</v>
      </c>
      <c r="D144" s="14" t="inlineStr">
        <is>
          <t>806</t>
        </is>
      </c>
      <c r="E144" s="14" t="inlineStr">
        <is>
          <t>רגיל</t>
        </is>
      </c>
      <c r="F144" s="14" t="inlineStr">
        <is>
          <t>חיפה / כרמל</t>
        </is>
      </c>
      <c r="G144" s="14" t="n">
        <v>20</v>
      </c>
      <c r="H144" s="16" t="n">
        <v>150000</v>
      </c>
      <c r="I144" s="17" t="n">
        <v>8000</v>
      </c>
      <c r="J144" s="17" t="n">
        <v>800</v>
      </c>
      <c r="K144" s="14" t="n">
        <v>80</v>
      </c>
      <c r="L144" s="14" t="n">
        <v>15.6</v>
      </c>
      <c r="M144" s="14" t="n">
        <v>5206</v>
      </c>
    </row>
    <row r="145">
      <c r="A145" t="n">
        <v>146</v>
      </c>
      <c r="B145" s="12" t="n">
        <v>32.73444</v>
      </c>
      <c r="C145" s="12" t="n">
        <v>35.03934</v>
      </c>
      <c r="D145" t="inlineStr">
        <is>
          <t>672</t>
        </is>
      </c>
      <c r="E145" t="inlineStr">
        <is>
          <t>רגיל</t>
        </is>
      </c>
      <c r="F145" t="inlineStr">
        <is>
          <t>חיפה / כרמל</t>
        </is>
      </c>
      <c r="G145" t="n">
        <v>20</v>
      </c>
      <c r="H145" s="6" t="n">
        <v>150000</v>
      </c>
      <c r="I145" s="13" t="n">
        <v>8000</v>
      </c>
      <c r="J145" s="13" t="n">
        <v>800</v>
      </c>
      <c r="K145" t="n">
        <v>80</v>
      </c>
      <c r="L145" t="n">
        <v>15.6</v>
      </c>
      <c r="M145" t="n">
        <v>6778</v>
      </c>
    </row>
    <row r="146">
      <c r="A146" s="14" t="n">
        <v>147</v>
      </c>
      <c r="B146" s="15" t="n">
        <v>31.37162</v>
      </c>
      <c r="C146" s="15" t="n">
        <v>34.82684</v>
      </c>
      <c r="D146" s="14" t="inlineStr">
        <is>
          <t>כביש חוצה ישראל</t>
        </is>
      </c>
      <c r="E146" s="14" t="inlineStr">
        <is>
          <t>עוטף עזה</t>
        </is>
      </c>
      <c r="F146" s="14" t="inlineStr">
        <is>
          <t>עוטף עזה / הנגב המערבי</t>
        </is>
      </c>
      <c r="G146" s="14" t="n">
        <v>20</v>
      </c>
      <c r="H146" s="16" t="n">
        <v>150000</v>
      </c>
      <c r="I146" s="17" t="n">
        <v>8000</v>
      </c>
      <c r="J146" s="17" t="n">
        <v>800</v>
      </c>
      <c r="K146" s="14" t="n">
        <v>110</v>
      </c>
      <c r="L146" s="14" t="n">
        <v>15.6</v>
      </c>
      <c r="M146" s="14" t="n">
        <v>1062</v>
      </c>
    </row>
    <row r="147">
      <c r="A147" t="n">
        <v>148</v>
      </c>
      <c r="B147" s="12" t="n">
        <v>32.77254</v>
      </c>
      <c r="C147" s="12" t="n">
        <v>35.28274</v>
      </c>
      <c r="D147" t="inlineStr">
        <is>
          <t>77</t>
        </is>
      </c>
      <c r="E147" t="inlineStr">
        <is>
          <t>רגיל</t>
        </is>
      </c>
      <c r="F147" t="inlineStr">
        <is>
          <t>חיפה / כרמל</t>
        </is>
      </c>
      <c r="G147" t="n">
        <v>50</v>
      </c>
      <c r="H147" s="6" t="n">
        <v>250000</v>
      </c>
      <c r="I147" s="13" t="n">
        <v>19000</v>
      </c>
      <c r="J147" s="13" t="n">
        <v>1900</v>
      </c>
      <c r="K147" t="n">
        <v>100</v>
      </c>
      <c r="L147" t="n">
        <v>37</v>
      </c>
      <c r="M147" t="n">
        <v>7336</v>
      </c>
    </row>
    <row r="148">
      <c r="A148" s="14" t="n">
        <v>149</v>
      </c>
      <c r="B148" s="15" t="n">
        <v>31.30181</v>
      </c>
      <c r="C148" s="15" t="n">
        <v>34.81865</v>
      </c>
      <c r="D148" s="14" t="inlineStr">
        <is>
          <t>40</t>
        </is>
      </c>
      <c r="E148" s="14" t="inlineStr">
        <is>
          <t>עוטף עזה</t>
        </is>
      </c>
      <c r="F148" s="14" t="inlineStr">
        <is>
          <t>עוטף עזה / הנגב המערבי</t>
        </is>
      </c>
      <c r="G148" s="14" t="n">
        <v>50</v>
      </c>
      <c r="H148" s="16" t="n">
        <v>250000</v>
      </c>
      <c r="I148" s="17" t="n">
        <v>22000</v>
      </c>
      <c r="J148" s="17" t="n">
        <v>2200</v>
      </c>
      <c r="K148" s="14" t="n">
        <v>100</v>
      </c>
      <c r="L148" s="14" t="n">
        <v>42.9</v>
      </c>
      <c r="M148" s="14" t="n">
        <v>789</v>
      </c>
    </row>
    <row r="149">
      <c r="A149" t="n">
        <v>150</v>
      </c>
      <c r="B149" s="12" t="n">
        <v>32.7239</v>
      </c>
      <c r="C149" s="12" t="n">
        <v>35.09936</v>
      </c>
      <c r="D149" t="inlineStr">
        <is>
          <t>דרך העמקים</t>
        </is>
      </c>
      <c r="E149" t="inlineStr">
        <is>
          <t>רגיל</t>
        </is>
      </c>
      <c r="F149" t="inlineStr">
        <is>
          <t>חיפה / כרמל</t>
        </is>
      </c>
      <c r="G149" t="n">
        <v>20</v>
      </c>
      <c r="H149" s="6" t="n">
        <v>150000</v>
      </c>
      <c r="I149" s="13" t="n">
        <v>8000</v>
      </c>
      <c r="J149" s="13" t="n">
        <v>800</v>
      </c>
      <c r="K149" t="n">
        <v>90</v>
      </c>
      <c r="L149" t="n">
        <v>15.6</v>
      </c>
      <c r="M149" t="n">
        <v>7226</v>
      </c>
    </row>
    <row r="150">
      <c r="A150" s="14" t="n">
        <v>151</v>
      </c>
      <c r="B150" s="15" t="n">
        <v>32.86626</v>
      </c>
      <c r="C150" s="15" t="n">
        <v>35.45605</v>
      </c>
      <c r="D150" s="14" t="inlineStr">
        <is>
          <t>65</t>
        </is>
      </c>
      <c r="E150" s="14" t="inlineStr">
        <is>
          <t>רגיל</t>
        </is>
      </c>
      <c r="F150" s="14" t="inlineStr">
        <is>
          <t>חיפה / כרמל</t>
        </is>
      </c>
      <c r="G150" s="14" t="n">
        <v>50</v>
      </c>
      <c r="H150" s="16" t="n">
        <v>250000</v>
      </c>
      <c r="I150" s="17" t="n">
        <v>24000</v>
      </c>
      <c r="J150" s="17" t="n">
        <v>2400</v>
      </c>
      <c r="K150" s="14" t="n">
        <v>90</v>
      </c>
      <c r="L150" s="14" t="n">
        <v>46.8</v>
      </c>
      <c r="M150" s="14" t="n">
        <v>4044</v>
      </c>
    </row>
    <row r="151">
      <c r="A151" t="n">
        <v>152</v>
      </c>
      <c r="B151" s="12" t="n">
        <v>31.07752</v>
      </c>
      <c r="C151" s="12" t="n">
        <v>34.69373</v>
      </c>
      <c r="D151" t="inlineStr">
        <is>
          <t>222</t>
        </is>
      </c>
      <c r="E151" t="inlineStr">
        <is>
          <t>עוטף עזה</t>
        </is>
      </c>
      <c r="F151" t="inlineStr">
        <is>
          <t>עוטף עזה / הנגב המערבי</t>
        </is>
      </c>
      <c r="G151" t="n">
        <v>20</v>
      </c>
      <c r="H151" s="6" t="n">
        <v>150000</v>
      </c>
      <c r="I151" s="13" t="n">
        <v>8000</v>
      </c>
      <c r="J151" s="13" t="n">
        <v>800</v>
      </c>
      <c r="K151" t="n">
        <v>90</v>
      </c>
      <c r="L151" t="n">
        <v>15.6</v>
      </c>
      <c r="M151" t="inlineStr"/>
    </row>
    <row r="152">
      <c r="A152" s="14" t="n">
        <v>153</v>
      </c>
      <c r="B152" s="15" t="n">
        <v>31.79472</v>
      </c>
      <c r="C152" s="15" t="n">
        <v>35.16272</v>
      </c>
      <c r="D152" s="14" t="inlineStr">
        <is>
          <t>כביש ירושלים תל אביב</t>
        </is>
      </c>
      <c r="E152" s="14" t="inlineStr">
        <is>
          <t>רגיל</t>
        </is>
      </c>
      <c r="F152" s="14" t="inlineStr">
        <is>
          <t>ירושלים / שפלה</t>
        </is>
      </c>
      <c r="G152" s="14" t="n">
        <v>30</v>
      </c>
      <c r="H152" s="16" t="n">
        <v>200000</v>
      </c>
      <c r="I152" s="17" t="n">
        <v>13000</v>
      </c>
      <c r="J152" s="17" t="n">
        <v>1300</v>
      </c>
      <c r="K152" s="14" t="n">
        <v>90</v>
      </c>
      <c r="L152" s="14" t="n">
        <v>25.4</v>
      </c>
      <c r="M152" s="14" t="n">
        <v>19378</v>
      </c>
    </row>
    <row r="153">
      <c r="A153" t="n">
        <v>154</v>
      </c>
      <c r="B153" s="12" t="n">
        <v>32.31287</v>
      </c>
      <c r="C153" s="12" t="n">
        <v>35.01273</v>
      </c>
      <c r="D153" t="inlineStr">
        <is>
          <t>כביש חוצה ישראל</t>
        </is>
      </c>
      <c r="E153" t="inlineStr">
        <is>
          <t>רגיל</t>
        </is>
      </c>
      <c r="F153" t="inlineStr">
        <is>
          <t>מרכז (שרון / גוש דן)</t>
        </is>
      </c>
      <c r="G153" t="n">
        <v>20</v>
      </c>
      <c r="H153" s="6" t="n">
        <v>150000</v>
      </c>
      <c r="I153" s="13" t="n">
        <v>8000</v>
      </c>
      <c r="J153" s="13" t="n">
        <v>800</v>
      </c>
      <c r="K153" t="n">
        <v>120</v>
      </c>
      <c r="L153" t="n">
        <v>15.6</v>
      </c>
      <c r="M153" t="n">
        <v>19020</v>
      </c>
    </row>
    <row r="154">
      <c r="A154" s="14" t="n">
        <v>155</v>
      </c>
      <c r="B154" s="15" t="n">
        <v>31.25093</v>
      </c>
      <c r="C154" s="15" t="n">
        <v>34.81975</v>
      </c>
      <c r="D154" s="14" t="inlineStr">
        <is>
          <t>אליהו נאוי</t>
        </is>
      </c>
      <c r="E154" s="14" t="inlineStr">
        <is>
          <t>עוטף עזה</t>
        </is>
      </c>
      <c r="F154" s="14" t="inlineStr">
        <is>
          <t>עוטף עזה / הנגב המערבי</t>
        </is>
      </c>
      <c r="G154" s="14" t="n">
        <v>30</v>
      </c>
      <c r="H154" s="16" t="n">
        <v>200000</v>
      </c>
      <c r="I154" s="17" t="n">
        <v>13000</v>
      </c>
      <c r="J154" s="17" t="n">
        <v>1300</v>
      </c>
      <c r="K154" s="14" t="n">
        <v>90</v>
      </c>
      <c r="L154" s="14" t="n">
        <v>25.4</v>
      </c>
      <c r="M154" s="14" t="n">
        <v>1014</v>
      </c>
    </row>
    <row r="155">
      <c r="A155" t="n">
        <v>156</v>
      </c>
      <c r="B155" s="12" t="n">
        <v>31.63394</v>
      </c>
      <c r="C155" s="12" t="n">
        <v>34.87066</v>
      </c>
      <c r="D155" t="inlineStr">
        <is>
          <t>353</t>
        </is>
      </c>
      <c r="E155" t="inlineStr">
        <is>
          <t>רגיל</t>
        </is>
      </c>
      <c r="F155" t="inlineStr">
        <is>
          <t>ירושלים / שפלה</t>
        </is>
      </c>
      <c r="G155" t="n">
        <v>20</v>
      </c>
      <c r="H155" s="6" t="n">
        <v>150000</v>
      </c>
      <c r="I155" s="13" t="n">
        <v>8000</v>
      </c>
      <c r="J155" s="13" t="n">
        <v>800</v>
      </c>
      <c r="K155" t="n">
        <v>80</v>
      </c>
      <c r="L155" t="n">
        <v>15.6</v>
      </c>
      <c r="M155" t="n">
        <v>2064</v>
      </c>
    </row>
    <row r="156">
      <c r="A156" s="14" t="n">
        <v>157</v>
      </c>
      <c r="B156" s="15" t="n">
        <v>32.84591</v>
      </c>
      <c r="C156" s="15" t="n">
        <v>35.43364</v>
      </c>
      <c r="D156" s="14" t="inlineStr">
        <is>
          <t>65</t>
        </is>
      </c>
      <c r="E156" s="14" t="inlineStr">
        <is>
          <t>רגיל</t>
        </is>
      </c>
      <c r="F156" s="14" t="inlineStr">
        <is>
          <t>חיפה / כרמל</t>
        </is>
      </c>
      <c r="G156" s="14" t="n">
        <v>50</v>
      </c>
      <c r="H156" s="16" t="n">
        <v>250000</v>
      </c>
      <c r="I156" s="17" t="n">
        <v>24000</v>
      </c>
      <c r="J156" s="17" t="n">
        <v>2400</v>
      </c>
      <c r="K156" s="14" t="n">
        <v>90</v>
      </c>
      <c r="L156" s="14" t="n">
        <v>46.8</v>
      </c>
      <c r="M156" s="14" t="n">
        <v>3872</v>
      </c>
    </row>
    <row r="157">
      <c r="A157" t="n">
        <v>158</v>
      </c>
      <c r="B157" s="12" t="n">
        <v>32.72495</v>
      </c>
      <c r="C157" s="12" t="n">
        <v>35.00839</v>
      </c>
      <c r="D157" t="inlineStr">
        <is>
          <t>721</t>
        </is>
      </c>
      <c r="E157" t="inlineStr">
        <is>
          <t>רגיל</t>
        </is>
      </c>
      <c r="F157" t="inlineStr">
        <is>
          <t>חיפה / כרמל</t>
        </is>
      </c>
      <c r="G157" t="n">
        <v>20</v>
      </c>
      <c r="H157" s="6" t="n">
        <v>150000</v>
      </c>
      <c r="I157" s="13" t="n">
        <v>8000</v>
      </c>
      <c r="J157" s="13" t="n">
        <v>800</v>
      </c>
      <c r="K157" t="n">
        <v>60</v>
      </c>
      <c r="L157" t="n">
        <v>15.6</v>
      </c>
      <c r="M157" t="n">
        <v>5880</v>
      </c>
    </row>
    <row r="158">
      <c r="A158" s="14" t="n">
        <v>159</v>
      </c>
      <c r="B158" s="15" t="n">
        <v>32.74563</v>
      </c>
      <c r="C158" s="15" t="n">
        <v>35.25454</v>
      </c>
      <c r="D158" s="14" t="inlineStr">
        <is>
          <t>79</t>
        </is>
      </c>
      <c r="E158" s="14" t="inlineStr">
        <is>
          <t>רגיל</t>
        </is>
      </c>
      <c r="F158" s="14" t="inlineStr">
        <is>
          <t>חיפה / כרמל</t>
        </is>
      </c>
      <c r="G158" s="14" t="n">
        <v>50</v>
      </c>
      <c r="H158" s="16" t="n">
        <v>250000</v>
      </c>
      <c r="I158" s="17" t="n">
        <v>18000</v>
      </c>
      <c r="J158" s="17" t="n">
        <v>1800</v>
      </c>
      <c r="K158" s="14" t="n">
        <v>90</v>
      </c>
      <c r="L158" s="14" t="n">
        <v>35.1</v>
      </c>
      <c r="M158" s="14" t="n">
        <v>6742</v>
      </c>
    </row>
    <row r="159">
      <c r="A159" t="n">
        <v>160</v>
      </c>
      <c r="B159" s="12" t="n">
        <v>32.72927</v>
      </c>
      <c r="C159" s="12" t="n">
        <v>35.20629</v>
      </c>
      <c r="D159" t="inlineStr">
        <is>
          <t>77</t>
        </is>
      </c>
      <c r="E159" t="inlineStr">
        <is>
          <t>רגיל</t>
        </is>
      </c>
      <c r="F159" t="inlineStr">
        <is>
          <t>חיפה / כרמל</t>
        </is>
      </c>
      <c r="G159" t="n">
        <v>50</v>
      </c>
      <c r="H159" s="6" t="n">
        <v>250000</v>
      </c>
      <c r="I159" s="13" t="n">
        <v>19000</v>
      </c>
      <c r="J159" s="13" t="n">
        <v>1900</v>
      </c>
      <c r="K159" t="n">
        <v>100</v>
      </c>
      <c r="L159" t="n">
        <v>37</v>
      </c>
      <c r="M159" t="n">
        <v>6486</v>
      </c>
    </row>
    <row r="160">
      <c r="A160" s="14" t="n">
        <v>161</v>
      </c>
      <c r="B160" s="15" t="n">
        <v>31.68712</v>
      </c>
      <c r="C160" s="15" t="n">
        <v>34.94661</v>
      </c>
      <c r="D160" s="14" t="inlineStr">
        <is>
          <t>38</t>
        </is>
      </c>
      <c r="E160" s="14" t="inlineStr">
        <is>
          <t>רגיל</t>
        </is>
      </c>
      <c r="F160" s="14" t="inlineStr">
        <is>
          <t>ירושלים / שפלה</t>
        </is>
      </c>
      <c r="G160" s="14" t="n">
        <v>20</v>
      </c>
      <c r="H160" s="16" t="n">
        <v>150000</v>
      </c>
      <c r="I160" s="17" t="n">
        <v>8000</v>
      </c>
      <c r="J160" s="17" t="n">
        <v>800</v>
      </c>
      <c r="K160" s="14" t="n">
        <v>80</v>
      </c>
      <c r="L160" s="14" t="n">
        <v>15.6</v>
      </c>
      <c r="M160" s="14" t="n">
        <v>9768</v>
      </c>
    </row>
    <row r="161">
      <c r="A161" t="n">
        <v>162</v>
      </c>
      <c r="B161" s="12" t="n">
        <v>31.76438</v>
      </c>
      <c r="C161" s="12" t="n">
        <v>35.15297</v>
      </c>
      <c r="D161" t="inlineStr">
        <is>
          <t>קלמן יעקב מן</t>
        </is>
      </c>
      <c r="E161" t="inlineStr">
        <is>
          <t>רגיל</t>
        </is>
      </c>
      <c r="F161" t="inlineStr">
        <is>
          <t>ירושלים / שפלה</t>
        </is>
      </c>
      <c r="G161" t="n">
        <v>20</v>
      </c>
      <c r="H161" s="6" t="n">
        <v>150000</v>
      </c>
      <c r="I161" s="13" t="n">
        <v>8000</v>
      </c>
      <c r="J161" s="13" t="n">
        <v>800</v>
      </c>
      <c r="K161" t="n">
        <v>50</v>
      </c>
      <c r="L161" t="n">
        <v>15.6</v>
      </c>
      <c r="M161" t="n">
        <v>17117</v>
      </c>
    </row>
    <row r="162">
      <c r="A162" s="14" t="n">
        <v>163</v>
      </c>
      <c r="B162" s="15" t="n">
        <v>31.71856</v>
      </c>
      <c r="C162" s="15" t="n">
        <v>35.10578</v>
      </c>
      <c r="D162" s="14" t="inlineStr">
        <is>
          <t>375</t>
        </is>
      </c>
      <c r="E162" s="14" t="inlineStr">
        <is>
          <t>רגיל</t>
        </is>
      </c>
      <c r="F162" s="14" t="inlineStr">
        <is>
          <t>ירושלים / שפלה</t>
        </is>
      </c>
      <c r="G162" s="14" t="n">
        <v>12</v>
      </c>
      <c r="H162" s="16" t="n">
        <v>100000</v>
      </c>
      <c r="I162" s="17" t="n">
        <v>4000</v>
      </c>
      <c r="J162" s="17" t="n">
        <v>400</v>
      </c>
      <c r="K162" s="14" t="n">
        <v>80</v>
      </c>
      <c r="L162" s="14" t="n">
        <v>7.8</v>
      </c>
      <c r="M162" s="14" t="n">
        <v>16937</v>
      </c>
    </row>
    <row r="163">
      <c r="A163" t="n">
        <v>164</v>
      </c>
      <c r="B163" s="12" t="n">
        <v>32.71169</v>
      </c>
      <c r="C163" s="12" t="n">
        <v>35.13011</v>
      </c>
      <c r="D163" t="inlineStr">
        <is>
          <t>דרך העמקים</t>
        </is>
      </c>
      <c r="E163" t="inlineStr">
        <is>
          <t>רגיל</t>
        </is>
      </c>
      <c r="F163" t="inlineStr">
        <is>
          <t>חיפה / כרמל</t>
        </is>
      </c>
      <c r="G163" t="n">
        <v>20</v>
      </c>
      <c r="H163" s="6" t="n">
        <v>150000</v>
      </c>
      <c r="I163" s="13" t="n">
        <v>8000</v>
      </c>
      <c r="J163" s="13" t="n">
        <v>800</v>
      </c>
      <c r="K163" t="n">
        <v>90</v>
      </c>
      <c r="L163" t="n">
        <v>15.6</v>
      </c>
      <c r="M163" t="n">
        <v>6095</v>
      </c>
    </row>
    <row r="164">
      <c r="A164" s="14" t="n">
        <v>165</v>
      </c>
      <c r="B164" s="15" t="n">
        <v>31.60692</v>
      </c>
      <c r="C164" s="15" t="n">
        <v>34.89303</v>
      </c>
      <c r="D164" s="14" t="inlineStr">
        <is>
          <t>35</t>
        </is>
      </c>
      <c r="E164" s="14" t="inlineStr">
        <is>
          <t>רגיל</t>
        </is>
      </c>
      <c r="F164" s="14" t="inlineStr">
        <is>
          <t>ירושלים / שפלה</t>
        </is>
      </c>
      <c r="G164" s="14" t="n">
        <v>30</v>
      </c>
      <c r="H164" s="16" t="n">
        <v>200000</v>
      </c>
      <c r="I164" s="17" t="n">
        <v>11000</v>
      </c>
      <c r="J164" s="17" t="n">
        <v>1100</v>
      </c>
      <c r="K164" s="14" t="n">
        <v>90</v>
      </c>
      <c r="L164" s="14" t="n">
        <v>21.4</v>
      </c>
      <c r="M164" s="14" t="n">
        <v>2563</v>
      </c>
    </row>
    <row r="165">
      <c r="A165" t="n">
        <v>166</v>
      </c>
      <c r="B165" s="12" t="n">
        <v>31.22568</v>
      </c>
      <c r="C165" s="12" t="n">
        <v>34.82874</v>
      </c>
      <c r="D165" t="inlineStr">
        <is>
          <t>40</t>
        </is>
      </c>
      <c r="E165" t="inlineStr">
        <is>
          <t>עוטף עזה</t>
        </is>
      </c>
      <c r="F165" t="inlineStr">
        <is>
          <t>עוטף עזה / הנגב המערבי</t>
        </is>
      </c>
      <c r="G165" t="n">
        <v>50</v>
      </c>
      <c r="H165" s="6" t="n">
        <v>250000</v>
      </c>
      <c r="I165" s="13" t="n">
        <v>22000</v>
      </c>
      <c r="J165" s="13" t="n">
        <v>2200</v>
      </c>
      <c r="K165" t="n">
        <v>100</v>
      </c>
      <c r="L165" t="n">
        <v>42.9</v>
      </c>
      <c r="M165" t="n">
        <v>1014</v>
      </c>
    </row>
    <row r="166">
      <c r="A166" s="14" t="n">
        <v>168</v>
      </c>
      <c r="B166" s="15" t="n">
        <v>32.70628</v>
      </c>
      <c r="C166" s="15" t="n">
        <v>35.16708</v>
      </c>
      <c r="D166" s="14" t="inlineStr">
        <is>
          <t>דרך העמקים</t>
        </is>
      </c>
      <c r="E166" s="14" t="inlineStr">
        <is>
          <t>רגיל</t>
        </is>
      </c>
      <c r="F166" s="14" t="inlineStr">
        <is>
          <t>חיפה / כרמל</t>
        </is>
      </c>
      <c r="G166" s="14" t="n">
        <v>20</v>
      </c>
      <c r="H166" s="16" t="n">
        <v>150000</v>
      </c>
      <c r="I166" s="17" t="n">
        <v>8000</v>
      </c>
      <c r="J166" s="17" t="n">
        <v>800</v>
      </c>
      <c r="K166" s="14" t="n">
        <v>90</v>
      </c>
      <c r="L166" s="14" t="n">
        <v>15.6</v>
      </c>
      <c r="M166" s="14" t="n">
        <v>6506</v>
      </c>
    </row>
    <row r="167">
      <c r="A167" t="n">
        <v>169</v>
      </c>
      <c r="B167" s="12" t="n">
        <v>32.80878</v>
      </c>
      <c r="C167" s="12" t="n">
        <v>35.39957</v>
      </c>
      <c r="D167" t="inlineStr">
        <is>
          <t>65</t>
        </is>
      </c>
      <c r="E167" t="inlineStr">
        <is>
          <t>רגיל</t>
        </is>
      </c>
      <c r="F167" t="inlineStr">
        <is>
          <t>חיפה / כרמל</t>
        </is>
      </c>
      <c r="G167" t="n">
        <v>50</v>
      </c>
      <c r="H167" s="6" t="n">
        <v>250000</v>
      </c>
      <c r="I167" s="13" t="n">
        <v>24000</v>
      </c>
      <c r="J167" s="13" t="n">
        <v>2400</v>
      </c>
      <c r="K167" t="n">
        <v>90</v>
      </c>
      <c r="L167" t="n">
        <v>46.8</v>
      </c>
      <c r="M167" t="n">
        <v>3998</v>
      </c>
    </row>
    <row r="168">
      <c r="A168" s="14" t="n">
        <v>170</v>
      </c>
      <c r="B168" s="15" t="n">
        <v>31.16752</v>
      </c>
      <c r="C168" s="15" t="n">
        <v>34.80461</v>
      </c>
      <c r="D168" s="14" t="inlineStr">
        <is>
          <t>40</t>
        </is>
      </c>
      <c r="E168" s="14" t="inlineStr">
        <is>
          <t>עוטף עזה</t>
        </is>
      </c>
      <c r="F168" s="14" t="inlineStr">
        <is>
          <t>עוטף עזה / הנגב המערבי</t>
        </is>
      </c>
      <c r="G168" s="14" t="n">
        <v>50</v>
      </c>
      <c r="H168" s="16" t="n">
        <v>250000</v>
      </c>
      <c r="I168" s="17" t="n">
        <v>22000</v>
      </c>
      <c r="J168" s="17" t="n">
        <v>2200</v>
      </c>
      <c r="K168" s="14" t="n">
        <v>90</v>
      </c>
      <c r="L168" s="14" t="n">
        <v>42.9</v>
      </c>
      <c r="M168" s="14" t="n">
        <v>1014</v>
      </c>
    </row>
    <row r="169">
      <c r="A169" t="n">
        <v>171</v>
      </c>
      <c r="B169" s="12" t="n">
        <v>31.39125</v>
      </c>
      <c r="C169" s="12" t="n">
        <v>34.87917</v>
      </c>
      <c r="D169" t="inlineStr">
        <is>
          <t>358</t>
        </is>
      </c>
      <c r="E169" t="inlineStr">
        <is>
          <t>עוטף עזה</t>
        </is>
      </c>
      <c r="F169" t="inlineStr">
        <is>
          <t>עוטף עזה / הנגב המערבי</t>
        </is>
      </c>
      <c r="G169" t="n">
        <v>20</v>
      </c>
      <c r="H169" s="6" t="n">
        <v>150000</v>
      </c>
      <c r="I169" s="13" t="n">
        <v>8000</v>
      </c>
      <c r="J169" s="13" t="n">
        <v>800</v>
      </c>
      <c r="K169" t="n">
        <v>90</v>
      </c>
      <c r="L169" t="n">
        <v>15.6</v>
      </c>
      <c r="M169" t="n">
        <v>1276</v>
      </c>
    </row>
    <row r="170">
      <c r="A170" s="14" t="n">
        <v>173</v>
      </c>
      <c r="B170" s="15" t="n">
        <v>32.90057</v>
      </c>
      <c r="C170" s="15" t="n">
        <v>35.61115</v>
      </c>
      <c r="D170" s="14" t="inlineStr">
        <is>
          <t>87</t>
        </is>
      </c>
      <c r="E170" s="14" t="inlineStr">
        <is>
          <t>רגיל</t>
        </is>
      </c>
      <c r="F170" s="14" t="inlineStr">
        <is>
          <t>חיפה / כרמל</t>
        </is>
      </c>
      <c r="G170" s="14" t="n">
        <v>20</v>
      </c>
      <c r="H170" s="16" t="n">
        <v>150000</v>
      </c>
      <c r="I170" s="17" t="n">
        <v>8000</v>
      </c>
      <c r="J170" s="17" t="n">
        <v>800</v>
      </c>
      <c r="K170" s="14" t="n">
        <v>80</v>
      </c>
      <c r="L170" s="14" t="n">
        <v>15.6</v>
      </c>
      <c r="M170" s="14" t="n">
        <v>2007</v>
      </c>
    </row>
    <row r="171">
      <c r="A171" t="n">
        <v>174</v>
      </c>
      <c r="B171" s="12" t="n">
        <v>30.93828</v>
      </c>
      <c r="C171" s="12" t="n">
        <v>34.58878</v>
      </c>
      <c r="D171" t="inlineStr">
        <is>
          <t>211</t>
        </is>
      </c>
      <c r="E171" t="inlineStr">
        <is>
          <t>עוטף עזה</t>
        </is>
      </c>
      <c r="F171" t="inlineStr">
        <is>
          <t>עוטף עזה / הנגב המערבי</t>
        </is>
      </c>
      <c r="G171" t="n">
        <v>20</v>
      </c>
      <c r="H171" s="6" t="n">
        <v>150000</v>
      </c>
      <c r="I171" s="13" t="n">
        <v>8000</v>
      </c>
      <c r="J171" s="13" t="n">
        <v>800</v>
      </c>
      <c r="K171" t="n">
        <v>90</v>
      </c>
      <c r="L171" t="n">
        <v>15.6</v>
      </c>
      <c r="M171" t="inlineStr"/>
    </row>
    <row r="172">
      <c r="A172" s="14" t="n">
        <v>175</v>
      </c>
      <c r="B172" s="15" t="n">
        <v>30.90461</v>
      </c>
      <c r="C172" s="15" t="n">
        <v>34.49691</v>
      </c>
      <c r="D172" s="14" t="inlineStr">
        <is>
          <t>211</t>
        </is>
      </c>
      <c r="E172" s="14" t="inlineStr">
        <is>
          <t>עוטף עזה</t>
        </is>
      </c>
      <c r="F172" s="14" t="inlineStr">
        <is>
          <t>עוטף עזה / הנגב המערבי</t>
        </is>
      </c>
      <c r="G172" s="14" t="n">
        <v>20</v>
      </c>
      <c r="H172" s="16" t="n">
        <v>150000</v>
      </c>
      <c r="I172" s="17" t="n">
        <v>8000</v>
      </c>
      <c r="J172" s="17" t="n">
        <v>800</v>
      </c>
      <c r="K172" s="14" t="n">
        <v>90</v>
      </c>
      <c r="L172" s="14" t="n">
        <v>15.6</v>
      </c>
      <c r="M172" s="14" t="inlineStr"/>
    </row>
    <row r="173">
      <c r="A173" t="n">
        <v>176</v>
      </c>
      <c r="B173" s="12" t="n">
        <v>32.87232</v>
      </c>
      <c r="C173" s="12" t="n">
        <v>35.54062</v>
      </c>
      <c r="D173" t="inlineStr">
        <is>
          <t>90</t>
        </is>
      </c>
      <c r="E173" t="inlineStr">
        <is>
          <t>רגיל</t>
        </is>
      </c>
      <c r="F173" t="inlineStr">
        <is>
          <t>חיפה / כרמל</t>
        </is>
      </c>
      <c r="G173" t="n">
        <v>20</v>
      </c>
      <c r="H173" s="6" t="n">
        <v>150000</v>
      </c>
      <c r="I173" s="13" t="n">
        <v>9000</v>
      </c>
      <c r="J173" s="13" t="n">
        <v>900</v>
      </c>
      <c r="K173" t="n">
        <v>80</v>
      </c>
      <c r="L173" t="n">
        <v>17.6</v>
      </c>
      <c r="M173" t="n">
        <v>1983</v>
      </c>
    </row>
    <row r="174">
      <c r="A174" s="14" t="n">
        <v>177</v>
      </c>
      <c r="B174" s="15" t="n">
        <v>32.35022</v>
      </c>
      <c r="C174" s="15" t="n">
        <v>35.00667</v>
      </c>
      <c r="D174" s="14" t="inlineStr">
        <is>
          <t>582</t>
        </is>
      </c>
      <c r="E174" s="14" t="inlineStr">
        <is>
          <t>רגיל</t>
        </is>
      </c>
      <c r="F174" s="14" t="inlineStr">
        <is>
          <t>מרכז (שרון / גוש דן)</t>
        </is>
      </c>
      <c r="G174" s="14" t="n">
        <v>20</v>
      </c>
      <c r="H174" s="16" t="n">
        <v>150000</v>
      </c>
      <c r="I174" s="17" t="n">
        <v>8000</v>
      </c>
      <c r="J174" s="17" t="n">
        <v>800</v>
      </c>
      <c r="K174" s="14" t="n">
        <v>90</v>
      </c>
      <c r="L174" s="14" t="n">
        <v>15.6</v>
      </c>
      <c r="M174" s="14" t="n">
        <v>14477</v>
      </c>
    </row>
    <row r="175">
      <c r="A175" t="n">
        <v>178</v>
      </c>
      <c r="B175" s="12" t="n">
        <v>30.8825</v>
      </c>
      <c r="C175" s="12" t="n">
        <v>34.39305</v>
      </c>
      <c r="D175" t="inlineStr">
        <is>
          <t>primary</t>
        </is>
      </c>
      <c r="E175" t="inlineStr">
        <is>
          <t>עוטף עזה</t>
        </is>
      </c>
      <c r="F175" t="inlineStr">
        <is>
          <t>עוטף עזה / הנגב המערבי</t>
        </is>
      </c>
      <c r="G175" t="n">
        <v>20</v>
      </c>
      <c r="H175" s="6" t="n">
        <v>150000</v>
      </c>
      <c r="I175" s="13" t="n">
        <v>8000</v>
      </c>
      <c r="J175" s="13" t="n">
        <v>800</v>
      </c>
      <c r="K175" t="n">
        <v>80</v>
      </c>
      <c r="L175" t="n">
        <v>15.6</v>
      </c>
      <c r="M175" t="inlineStr"/>
    </row>
    <row r="176">
      <c r="A176" s="14" t="n">
        <v>179</v>
      </c>
      <c r="B176" s="15" t="n">
        <v>32.36079</v>
      </c>
      <c r="C176" s="15" t="n">
        <v>34.86679</v>
      </c>
      <c r="D176" s="14" t="inlineStr">
        <is>
          <t>כביש החוף</t>
        </is>
      </c>
      <c r="E176" s="14" t="inlineStr">
        <is>
          <t>רגיל</t>
        </is>
      </c>
      <c r="F176" s="14" t="inlineStr">
        <is>
          <t>מרכז (שרון / גוש דן)</t>
        </is>
      </c>
      <c r="G176" s="14" t="n">
        <v>20</v>
      </c>
      <c r="H176" s="16" t="n">
        <v>150000</v>
      </c>
      <c r="I176" s="17" t="n">
        <v>8000</v>
      </c>
      <c r="J176" s="17" t="n">
        <v>800</v>
      </c>
      <c r="K176" s="14" t="n">
        <v>90</v>
      </c>
      <c r="L176" s="14" t="n">
        <v>15.6</v>
      </c>
      <c r="M176" s="14" t="n">
        <v>13656</v>
      </c>
    </row>
    <row r="177">
      <c r="A177" t="n">
        <v>180</v>
      </c>
      <c r="B177" s="12" t="n">
        <v>31.32146</v>
      </c>
      <c r="C177" s="12" t="n">
        <v>34.88618</v>
      </c>
      <c r="D177" t="inlineStr">
        <is>
          <t>31</t>
        </is>
      </c>
      <c r="E177" t="inlineStr">
        <is>
          <t>עוטף עזה</t>
        </is>
      </c>
      <c r="F177" t="inlineStr">
        <is>
          <t>עוטף עזה / הנגב המערבי</t>
        </is>
      </c>
      <c r="G177" t="n">
        <v>20</v>
      </c>
      <c r="H177" s="6" t="n">
        <v>150000</v>
      </c>
      <c r="I177" s="13" t="n">
        <v>6500</v>
      </c>
      <c r="J177" s="13" t="n">
        <v>650</v>
      </c>
      <c r="K177" t="n">
        <v>70</v>
      </c>
      <c r="L177" t="n">
        <v>12.7</v>
      </c>
      <c r="M177" t="n">
        <v>1062</v>
      </c>
    </row>
    <row r="178">
      <c r="A178" s="14" t="n">
        <v>181</v>
      </c>
      <c r="B178" s="15" t="n">
        <v>31.69666</v>
      </c>
      <c r="C178" s="15" t="n">
        <v>35.01068</v>
      </c>
      <c r="D178" s="14" t="inlineStr">
        <is>
          <t>עוקף בית שמש</t>
        </is>
      </c>
      <c r="E178" s="14" t="inlineStr">
        <is>
          <t>רגיל</t>
        </is>
      </c>
      <c r="F178" s="14" t="inlineStr">
        <is>
          <t>ירושלים / שפלה</t>
        </is>
      </c>
      <c r="G178" s="14" t="n">
        <v>12</v>
      </c>
      <c r="H178" s="16" t="n">
        <v>100000</v>
      </c>
      <c r="I178" s="17" t="n">
        <v>4000</v>
      </c>
      <c r="J178" s="17" t="n">
        <v>400</v>
      </c>
      <c r="K178" s="14" t="n">
        <v>70</v>
      </c>
      <c r="L178" s="14" t="n">
        <v>7.8</v>
      </c>
      <c r="M178" s="14" t="n">
        <v>12387</v>
      </c>
    </row>
    <row r="179">
      <c r="A179" t="n">
        <v>182</v>
      </c>
      <c r="B179" s="12" t="n">
        <v>32.68643</v>
      </c>
      <c r="C179" s="12" t="n">
        <v>35.06666</v>
      </c>
      <c r="D179" t="inlineStr">
        <is>
          <t>672</t>
        </is>
      </c>
      <c r="E179" t="inlineStr">
        <is>
          <t>רגיל</t>
        </is>
      </c>
      <c r="F179" t="inlineStr">
        <is>
          <t>חיפה / כרמל</t>
        </is>
      </c>
      <c r="G179" t="n">
        <v>20</v>
      </c>
      <c r="H179" s="6" t="n">
        <v>150000</v>
      </c>
      <c r="I179" s="13" t="n">
        <v>8000</v>
      </c>
      <c r="J179" s="13" t="n">
        <v>800</v>
      </c>
      <c r="K179" t="n">
        <v>50</v>
      </c>
      <c r="L179" t="n">
        <v>15.6</v>
      </c>
      <c r="M179" t="n">
        <v>4929</v>
      </c>
    </row>
    <row r="180">
      <c r="A180" s="14" t="n">
        <v>183</v>
      </c>
      <c r="B180" s="15" t="n">
        <v>31.45936</v>
      </c>
      <c r="C180" s="15" t="n">
        <v>34.91479</v>
      </c>
      <c r="D180" s="14" t="inlineStr">
        <is>
          <t>358</t>
        </is>
      </c>
      <c r="E180" s="14" t="inlineStr">
        <is>
          <t>רגיל</t>
        </is>
      </c>
      <c r="F180" s="14" t="inlineStr">
        <is>
          <t>נגב / ערבה</t>
        </is>
      </c>
      <c r="G180" s="14" t="n">
        <v>20</v>
      </c>
      <c r="H180" s="16" t="n">
        <v>150000</v>
      </c>
      <c r="I180" s="17" t="n">
        <v>8000</v>
      </c>
      <c r="J180" s="17" t="n">
        <v>800</v>
      </c>
      <c r="K180" s="14" t="n">
        <v>80</v>
      </c>
      <c r="L180" s="14" t="n">
        <v>15.6</v>
      </c>
      <c r="M180" s="14" t="n">
        <v>1527</v>
      </c>
    </row>
    <row r="181">
      <c r="A181" t="n">
        <v>184</v>
      </c>
      <c r="B181" s="12" t="n">
        <v>32.70048</v>
      </c>
      <c r="C181" s="12" t="n">
        <v>35.20778</v>
      </c>
      <c r="D181" t="inlineStr">
        <is>
          <t>דרך העמקים</t>
        </is>
      </c>
      <c r="E181" t="inlineStr">
        <is>
          <t>רגיל</t>
        </is>
      </c>
      <c r="F181" t="inlineStr">
        <is>
          <t>חיפה / כרמל</t>
        </is>
      </c>
      <c r="G181" t="n">
        <v>30</v>
      </c>
      <c r="H181" s="6" t="n">
        <v>200000</v>
      </c>
      <c r="I181" s="13" t="n">
        <v>14000</v>
      </c>
      <c r="J181" s="13" t="n">
        <v>1400</v>
      </c>
      <c r="K181" t="n">
        <v>80</v>
      </c>
      <c r="L181" t="n">
        <v>27.3</v>
      </c>
      <c r="M181" t="n">
        <v>5140</v>
      </c>
    </row>
    <row r="182">
      <c r="A182" s="14" t="n">
        <v>185</v>
      </c>
      <c r="B182" s="15" t="n">
        <v>31.5361</v>
      </c>
      <c r="C182" s="15" t="n">
        <v>34.92017</v>
      </c>
      <c r="D182" s="14" t="inlineStr">
        <is>
          <t>358</t>
        </is>
      </c>
      <c r="E182" s="14" t="inlineStr">
        <is>
          <t>רגיל</t>
        </is>
      </c>
      <c r="F182" s="14" t="inlineStr">
        <is>
          <t>ירושלים / שפלה</t>
        </is>
      </c>
      <c r="G182" s="14" t="n">
        <v>12</v>
      </c>
      <c r="H182" s="16" t="n">
        <v>100000</v>
      </c>
      <c r="I182" s="17" t="n">
        <v>4000</v>
      </c>
      <c r="J182" s="17" t="n">
        <v>400</v>
      </c>
      <c r="K182" s="14" t="n">
        <v>80</v>
      </c>
      <c r="L182" s="14" t="n">
        <v>7.8</v>
      </c>
      <c r="M182" s="14" t="n">
        <v>1527</v>
      </c>
    </row>
    <row r="183">
      <c r="A183" t="n">
        <v>186</v>
      </c>
      <c r="B183" s="12" t="n">
        <v>32.8454</v>
      </c>
      <c r="C183" s="12" t="n">
        <v>35.51626</v>
      </c>
      <c r="D183" t="inlineStr">
        <is>
          <t>90</t>
        </is>
      </c>
      <c r="E183" t="inlineStr">
        <is>
          <t>רגיל</t>
        </is>
      </c>
      <c r="F183" t="inlineStr">
        <is>
          <t>חיפה / כרמל</t>
        </is>
      </c>
      <c r="G183" t="n">
        <v>20</v>
      </c>
      <c r="H183" s="6" t="n">
        <v>150000</v>
      </c>
      <c r="I183" s="13" t="n">
        <v>9000</v>
      </c>
      <c r="J183" s="13" t="n">
        <v>900</v>
      </c>
      <c r="K183" t="n">
        <v>80</v>
      </c>
      <c r="L183" t="n">
        <v>17.6</v>
      </c>
      <c r="M183" t="n">
        <v>1983</v>
      </c>
    </row>
    <row r="184">
      <c r="A184" s="14" t="n">
        <v>187</v>
      </c>
      <c r="B184" s="15" t="n">
        <v>32.38111</v>
      </c>
      <c r="C184" s="15" t="n">
        <v>34.99238</v>
      </c>
      <c r="D184" s="14" t="inlineStr">
        <is>
          <t>581</t>
        </is>
      </c>
      <c r="E184" s="14" t="inlineStr">
        <is>
          <t>רגיל</t>
        </is>
      </c>
      <c r="F184" s="14" t="inlineStr">
        <is>
          <t>מרכז (שרון / גוש דן)</t>
        </is>
      </c>
      <c r="G184" s="14" t="n">
        <v>12</v>
      </c>
      <c r="H184" s="16" t="n">
        <v>100000</v>
      </c>
      <c r="I184" s="17" t="n">
        <v>4000</v>
      </c>
      <c r="J184" s="17" t="n">
        <v>400</v>
      </c>
      <c r="K184" s="14" t="n">
        <v>60</v>
      </c>
      <c r="L184" s="14" t="n">
        <v>7.8</v>
      </c>
      <c r="M184" s="14" t="n">
        <v>12669</v>
      </c>
    </row>
    <row r="185">
      <c r="A185" t="n">
        <v>188</v>
      </c>
      <c r="B185" s="12" t="n">
        <v>32.38041</v>
      </c>
      <c r="C185" s="12" t="n">
        <v>34.90748</v>
      </c>
      <c r="D185" t="inlineStr">
        <is>
          <t>כביש חיפה רעננה</t>
        </is>
      </c>
      <c r="E185" t="inlineStr">
        <is>
          <t>רגיל</t>
        </is>
      </c>
      <c r="F185" t="inlineStr">
        <is>
          <t>מרכז (שרון / גוש דן)</t>
        </is>
      </c>
      <c r="G185" t="n">
        <v>20</v>
      </c>
      <c r="H185" s="6" t="n">
        <v>150000</v>
      </c>
      <c r="I185" s="13" t="n">
        <v>8000</v>
      </c>
      <c r="J185" s="13" t="n">
        <v>800</v>
      </c>
      <c r="K185" t="n">
        <v>90</v>
      </c>
      <c r="L185" t="n">
        <v>15.6</v>
      </c>
      <c r="M185" t="n">
        <v>12584</v>
      </c>
    </row>
    <row r="186">
      <c r="A186" s="14" t="n">
        <v>189</v>
      </c>
      <c r="B186" s="15" t="n">
        <v>32.70974</v>
      </c>
      <c r="C186" s="15" t="n">
        <v>34.95217</v>
      </c>
      <c r="D186" s="14" t="inlineStr">
        <is>
          <t>כביש החוף</t>
        </is>
      </c>
      <c r="E186" s="14" t="inlineStr">
        <is>
          <t>רגיל</t>
        </is>
      </c>
      <c r="F186" s="14" t="inlineStr">
        <is>
          <t>חיפה / כרמל</t>
        </is>
      </c>
      <c r="G186" s="14" t="n">
        <v>20</v>
      </c>
      <c r="H186" s="16" t="n">
        <v>150000</v>
      </c>
      <c r="I186" s="17" t="n">
        <v>8000</v>
      </c>
      <c r="J186" s="17" t="n">
        <v>800</v>
      </c>
      <c r="K186" s="14" t="n">
        <v>80</v>
      </c>
      <c r="L186" s="14" t="n">
        <v>15.6</v>
      </c>
      <c r="M186" s="14" t="n">
        <v>2891</v>
      </c>
    </row>
    <row r="187">
      <c r="A187" t="n">
        <v>190</v>
      </c>
      <c r="B187" s="12" t="n">
        <v>31.11922</v>
      </c>
      <c r="C187" s="12" t="n">
        <v>34.81323</v>
      </c>
      <c r="D187" t="inlineStr">
        <is>
          <t>40</t>
        </is>
      </c>
      <c r="E187" t="inlineStr">
        <is>
          <t>עוטף עזה</t>
        </is>
      </c>
      <c r="F187" t="inlineStr">
        <is>
          <t>עוטף עזה / הנגב המערבי</t>
        </is>
      </c>
      <c r="G187" t="n">
        <v>50</v>
      </c>
      <c r="H187" s="6" t="n">
        <v>250000</v>
      </c>
      <c r="I187" s="13" t="n">
        <v>22000</v>
      </c>
      <c r="J187" s="13" t="n">
        <v>2200</v>
      </c>
      <c r="K187" t="n">
        <v>90</v>
      </c>
      <c r="L187" t="n">
        <v>42.9</v>
      </c>
      <c r="M187" t="n">
        <v>1014</v>
      </c>
    </row>
    <row r="188">
      <c r="A188" s="14" t="n">
        <v>191</v>
      </c>
      <c r="B188" s="15" t="n">
        <v>30.95655</v>
      </c>
      <c r="C188" s="15" t="n">
        <v>34.67235</v>
      </c>
      <c r="D188" s="14" t="inlineStr">
        <is>
          <t>211</t>
        </is>
      </c>
      <c r="E188" s="14" t="inlineStr">
        <is>
          <t>עוטף עזה</t>
        </is>
      </c>
      <c r="F188" s="14" t="inlineStr">
        <is>
          <t>עוטף עזה / הנגב המערבי</t>
        </is>
      </c>
      <c r="G188" s="14" t="n">
        <v>20</v>
      </c>
      <c r="H188" s="16" t="n">
        <v>150000</v>
      </c>
      <c r="I188" s="17" t="n">
        <v>8000</v>
      </c>
      <c r="J188" s="17" t="n">
        <v>800</v>
      </c>
      <c r="K188" s="14" t="n">
        <v>90</v>
      </c>
      <c r="L188" s="14" t="n">
        <v>15.6</v>
      </c>
      <c r="M188" s="14" t="inlineStr"/>
    </row>
    <row r="189">
      <c r="A189" t="n">
        <v>192</v>
      </c>
      <c r="B189" s="12" t="n">
        <v>32.75307</v>
      </c>
      <c r="C189" s="12" t="n">
        <v>35.34331</v>
      </c>
      <c r="D189" t="inlineStr">
        <is>
          <t>754</t>
        </is>
      </c>
      <c r="E189" t="inlineStr">
        <is>
          <t>רגיל</t>
        </is>
      </c>
      <c r="F189" t="inlineStr">
        <is>
          <t>חיפה / כרמל</t>
        </is>
      </c>
      <c r="G189" t="n">
        <v>20</v>
      </c>
      <c r="H189" s="6" t="n">
        <v>150000</v>
      </c>
      <c r="I189" s="13" t="n">
        <v>8000</v>
      </c>
      <c r="J189" s="13" t="n">
        <v>800</v>
      </c>
      <c r="K189" t="n">
        <v>80</v>
      </c>
      <c r="L189" t="n">
        <v>15.6</v>
      </c>
      <c r="M189" t="n">
        <v>3495</v>
      </c>
    </row>
    <row r="190">
      <c r="A190" s="14" t="n">
        <v>193</v>
      </c>
      <c r="B190" s="15" t="n">
        <v>32.39689</v>
      </c>
      <c r="C190" s="15" t="n">
        <v>34.92828</v>
      </c>
      <c r="D190" s="14" t="inlineStr">
        <is>
          <t>581</t>
        </is>
      </c>
      <c r="E190" s="14" t="inlineStr">
        <is>
          <t>רגיל</t>
        </is>
      </c>
      <c r="F190" s="14" t="inlineStr">
        <is>
          <t>מרכז (שרון / גוש דן)</t>
        </is>
      </c>
      <c r="G190" s="14" t="n">
        <v>12</v>
      </c>
      <c r="H190" s="16" t="n">
        <v>100000</v>
      </c>
      <c r="I190" s="17" t="n">
        <v>4000</v>
      </c>
      <c r="J190" s="17" t="n">
        <v>400</v>
      </c>
      <c r="K190" s="14" t="n">
        <v>60</v>
      </c>
      <c r="L190" s="14" t="n">
        <v>7.8</v>
      </c>
      <c r="M190" s="14" t="n">
        <v>11583</v>
      </c>
    </row>
    <row r="191">
      <c r="A191" t="n">
        <v>194</v>
      </c>
      <c r="B191" s="12" t="n">
        <v>32.395</v>
      </c>
      <c r="C191" s="12" t="n">
        <v>34.87165</v>
      </c>
      <c r="D191" t="inlineStr">
        <is>
          <t>כביש החוף</t>
        </is>
      </c>
      <c r="E191" t="inlineStr">
        <is>
          <t>רגיל</t>
        </is>
      </c>
      <c r="F191" t="inlineStr">
        <is>
          <t>מרכז (שרון / גוש דן)</t>
        </is>
      </c>
      <c r="G191" t="n">
        <v>20</v>
      </c>
      <c r="H191" s="6" t="n">
        <v>150000</v>
      </c>
      <c r="I191" s="13" t="n">
        <v>8000</v>
      </c>
      <c r="J191" s="13" t="n">
        <v>800</v>
      </c>
      <c r="K191" t="n">
        <v>100</v>
      </c>
      <c r="L191" t="n">
        <v>15.6</v>
      </c>
      <c r="M191" t="n">
        <v>11283</v>
      </c>
    </row>
    <row r="192">
      <c r="A192" s="14" t="n">
        <v>195</v>
      </c>
      <c r="B192" s="15" t="n">
        <v>32.36165</v>
      </c>
      <c r="C192" s="15" t="n">
        <v>35.02999</v>
      </c>
      <c r="D192" s="14" t="inlineStr">
        <is>
          <t>574</t>
        </is>
      </c>
      <c r="E192" s="14" t="inlineStr">
        <is>
          <t>רגיל</t>
        </is>
      </c>
      <c r="F192" s="14" t="inlineStr">
        <is>
          <t>מרכז (שרון / גוש דן)</t>
        </is>
      </c>
      <c r="G192" s="14" t="n">
        <v>20</v>
      </c>
      <c r="H192" s="16" t="n">
        <v>150000</v>
      </c>
      <c r="I192" s="17" t="n">
        <v>8000</v>
      </c>
      <c r="J192" s="17" t="n">
        <v>800</v>
      </c>
      <c r="K192" s="14" t="n">
        <v>80</v>
      </c>
      <c r="L192" s="14" t="n">
        <v>15.6</v>
      </c>
      <c r="M192" s="14" t="n">
        <v>11155</v>
      </c>
    </row>
    <row r="193">
      <c r="A193" t="n">
        <v>196</v>
      </c>
      <c r="B193" s="12" t="n">
        <v>31.31604</v>
      </c>
      <c r="C193" s="12" t="n">
        <v>34.91218</v>
      </c>
      <c r="D193" t="inlineStr">
        <is>
          <t>60</t>
        </is>
      </c>
      <c r="E193" t="inlineStr">
        <is>
          <t>רגיל</t>
        </is>
      </c>
      <c r="F193" t="inlineStr">
        <is>
          <t>נגב / ערבה</t>
        </is>
      </c>
      <c r="G193" t="n">
        <v>50</v>
      </c>
      <c r="H193" s="6" t="n">
        <v>250000</v>
      </c>
      <c r="I193" s="13" t="n">
        <v>16000</v>
      </c>
      <c r="J193" s="13" t="n">
        <v>1600</v>
      </c>
      <c r="K193" t="n">
        <v>90</v>
      </c>
      <c r="L193" t="n">
        <v>31.2</v>
      </c>
      <c r="M193" t="n">
        <v>1287</v>
      </c>
    </row>
    <row r="194">
      <c r="A194" s="14" t="n">
        <v>197</v>
      </c>
      <c r="B194" s="15" t="n">
        <v>32.67418</v>
      </c>
      <c r="C194" s="15" t="n">
        <v>35.10376</v>
      </c>
      <c r="D194" s="14" t="inlineStr">
        <is>
          <t>כביש חוצה ישראל</t>
        </is>
      </c>
      <c r="E194" s="14" t="inlineStr">
        <is>
          <t>רגיל</t>
        </is>
      </c>
      <c r="F194" s="14" t="inlineStr">
        <is>
          <t>חיפה / כרמל</t>
        </is>
      </c>
      <c r="G194" s="14" t="n">
        <v>30</v>
      </c>
      <c r="H194" s="16" t="n">
        <v>200000</v>
      </c>
      <c r="I194" s="17" t="n">
        <v>13000</v>
      </c>
      <c r="J194" s="17" t="n">
        <v>1300</v>
      </c>
      <c r="K194" s="14" t="n">
        <v>100</v>
      </c>
      <c r="L194" s="14" t="n">
        <v>25.3</v>
      </c>
      <c r="M194" s="14" t="n">
        <v>4459</v>
      </c>
    </row>
    <row r="195">
      <c r="A195" t="n">
        <v>198</v>
      </c>
      <c r="B195" s="12" t="n">
        <v>32.76387</v>
      </c>
      <c r="C195" s="12" t="n">
        <v>35.37519</v>
      </c>
      <c r="D195" t="inlineStr">
        <is>
          <t>77</t>
        </is>
      </c>
      <c r="E195" t="inlineStr">
        <is>
          <t>רגיל</t>
        </is>
      </c>
      <c r="F195" t="inlineStr">
        <is>
          <t>חיפה / כרמל</t>
        </is>
      </c>
      <c r="G195" t="n">
        <v>50</v>
      </c>
      <c r="H195" s="6" t="n">
        <v>250000</v>
      </c>
      <c r="I195" s="13" t="n">
        <v>19000</v>
      </c>
      <c r="J195" s="13" t="n">
        <v>1900</v>
      </c>
      <c r="K195" t="n">
        <v>90</v>
      </c>
      <c r="L195" t="n">
        <v>37.1</v>
      </c>
      <c r="M195" t="n">
        <v>2598</v>
      </c>
    </row>
    <row r="196">
      <c r="A196" s="14" t="n">
        <v>199</v>
      </c>
      <c r="B196" s="15" t="n">
        <v>31.50673</v>
      </c>
      <c r="C196" s="15" t="n">
        <v>34.94324</v>
      </c>
      <c r="D196" s="14" t="inlineStr">
        <is>
          <t>358</t>
        </is>
      </c>
      <c r="E196" s="14" t="inlineStr">
        <is>
          <t>רגיל</t>
        </is>
      </c>
      <c r="F196" s="14" t="inlineStr">
        <is>
          <t>ירושלים / שפלה</t>
        </is>
      </c>
      <c r="G196" s="14" t="n">
        <v>20</v>
      </c>
      <c r="H196" s="16" t="n">
        <v>150000</v>
      </c>
      <c r="I196" s="17" t="n">
        <v>8000</v>
      </c>
      <c r="J196" s="17" t="n">
        <v>800</v>
      </c>
      <c r="K196" s="14" t="n">
        <v>80</v>
      </c>
      <c r="L196" s="14" t="n">
        <v>15.6</v>
      </c>
      <c r="M196" s="14" t="n">
        <v>1527</v>
      </c>
    </row>
    <row r="197">
      <c r="A197" t="n">
        <v>201</v>
      </c>
      <c r="B197" s="12" t="n">
        <v>32.3855</v>
      </c>
      <c r="C197" s="12" t="n">
        <v>35.01922</v>
      </c>
      <c r="D197" t="inlineStr">
        <is>
          <t>כביש חוצה ישראל</t>
        </is>
      </c>
      <c r="E197" t="inlineStr">
        <is>
          <t>רגיל</t>
        </is>
      </c>
      <c r="F197" t="inlineStr">
        <is>
          <t>מרכז (שרון / גוש דן)</t>
        </is>
      </c>
      <c r="G197" t="n">
        <v>30</v>
      </c>
      <c r="H197" s="6" t="n">
        <v>200000</v>
      </c>
      <c r="I197" s="13" t="n">
        <v>13000</v>
      </c>
      <c r="J197" s="13" t="n">
        <v>1300</v>
      </c>
      <c r="K197" t="n">
        <v>120</v>
      </c>
      <c r="L197" t="n">
        <v>25.4</v>
      </c>
      <c r="M197" t="n">
        <v>10091</v>
      </c>
    </row>
    <row r="198">
      <c r="A198" s="14" t="n">
        <v>202</v>
      </c>
      <c r="B198" s="15" t="n">
        <v>30.96492</v>
      </c>
      <c r="C198" s="15" t="n">
        <v>34.71583</v>
      </c>
      <c r="D198" s="14" t="inlineStr">
        <is>
          <t>211</t>
        </is>
      </c>
      <c r="E198" s="14" t="inlineStr">
        <is>
          <t>עוטף עזה</t>
        </is>
      </c>
      <c r="F198" s="14" t="inlineStr">
        <is>
          <t>עוטף עזה / הנגב המערבי</t>
        </is>
      </c>
      <c r="G198" s="14" t="n">
        <v>20</v>
      </c>
      <c r="H198" s="16" t="n">
        <v>150000</v>
      </c>
      <c r="I198" s="17" t="n">
        <v>8000</v>
      </c>
      <c r="J198" s="17" t="n">
        <v>800</v>
      </c>
      <c r="K198" s="14" t="n">
        <v>80</v>
      </c>
      <c r="L198" s="14" t="n">
        <v>15.6</v>
      </c>
      <c r="M198" s="14" t="inlineStr"/>
    </row>
    <row r="199">
      <c r="A199" t="n">
        <v>204</v>
      </c>
      <c r="B199" s="12" t="n">
        <v>31.20745</v>
      </c>
      <c r="C199" s="12" t="n">
        <v>34.89689</v>
      </c>
      <c r="D199" t="inlineStr">
        <is>
          <t>25</t>
        </is>
      </c>
      <c r="E199" t="inlineStr">
        <is>
          <t>עוטף עזה</t>
        </is>
      </c>
      <c r="F199" t="inlineStr">
        <is>
          <t>עוטף עזה / הנגב המערבי</t>
        </is>
      </c>
      <c r="G199" t="n">
        <v>20</v>
      </c>
      <c r="H199" s="6" t="n">
        <v>150000</v>
      </c>
      <c r="I199" s="13" t="n">
        <v>7000</v>
      </c>
      <c r="J199" s="13" t="n">
        <v>700</v>
      </c>
      <c r="K199" t="n">
        <v>90</v>
      </c>
      <c r="L199" t="n">
        <v>13.7</v>
      </c>
      <c r="M199" t="n">
        <v>1014</v>
      </c>
    </row>
    <row r="200">
      <c r="A200" s="14" t="n">
        <v>206</v>
      </c>
      <c r="B200" s="15" t="n">
        <v>31.67529</v>
      </c>
      <c r="C200" s="15" t="n">
        <v>35.03189</v>
      </c>
      <c r="D200" s="14" t="inlineStr">
        <is>
          <t>367</t>
        </is>
      </c>
      <c r="E200" s="14" t="inlineStr">
        <is>
          <t>רגיל</t>
        </is>
      </c>
      <c r="F200" s="14" t="inlineStr">
        <is>
          <t>ירושלים / שפלה</t>
        </is>
      </c>
      <c r="G200" s="14" t="n">
        <v>20</v>
      </c>
      <c r="H200" s="16" t="n">
        <v>150000</v>
      </c>
      <c r="I200" s="17" t="n">
        <v>8000</v>
      </c>
      <c r="J200" s="17" t="n">
        <v>800</v>
      </c>
      <c r="K200" s="14" t="n">
        <v>80</v>
      </c>
      <c r="L200" s="14" t="n">
        <v>15.6</v>
      </c>
      <c r="M200" s="14" t="n">
        <v>8965</v>
      </c>
    </row>
    <row r="201">
      <c r="A201" t="n">
        <v>208</v>
      </c>
      <c r="B201" s="12" t="n">
        <v>32.72877</v>
      </c>
      <c r="C201" s="12" t="n">
        <v>35.32292</v>
      </c>
      <c r="D201" t="inlineStr">
        <is>
          <t>79</t>
        </is>
      </c>
      <c r="E201" t="inlineStr">
        <is>
          <t>רגיל</t>
        </is>
      </c>
      <c r="F201" t="inlineStr">
        <is>
          <t>חיפה / כרמל</t>
        </is>
      </c>
      <c r="G201" t="n">
        <v>20</v>
      </c>
      <c r="H201" s="6" t="n">
        <v>150000</v>
      </c>
      <c r="I201" s="13" t="n">
        <v>8000</v>
      </c>
      <c r="J201" s="13" t="n">
        <v>800</v>
      </c>
      <c r="K201" t="n">
        <v>80</v>
      </c>
      <c r="L201" t="n">
        <v>15.6</v>
      </c>
      <c r="M201" t="n">
        <v>2016</v>
      </c>
    </row>
    <row r="202">
      <c r="A202" s="14" t="n">
        <v>209</v>
      </c>
      <c r="B202" s="15" t="n">
        <v>32.39496</v>
      </c>
      <c r="C202" s="15" t="n">
        <v>35.04624</v>
      </c>
      <c r="D202" s="14" t="inlineStr">
        <is>
          <t>574</t>
        </is>
      </c>
      <c r="E202" s="14" t="inlineStr">
        <is>
          <t>רגיל</t>
        </is>
      </c>
      <c r="F202" s="14" t="inlineStr">
        <is>
          <t>מרכז (שרון / גוש דן)</t>
        </is>
      </c>
      <c r="G202" s="14" t="n">
        <v>20</v>
      </c>
      <c r="H202" s="16" t="n">
        <v>150000</v>
      </c>
      <c r="I202" s="17" t="n">
        <v>8000</v>
      </c>
      <c r="J202" s="17" t="n">
        <v>800</v>
      </c>
      <c r="K202" s="14" t="n">
        <v>80</v>
      </c>
      <c r="L202" s="14" t="n">
        <v>15.6</v>
      </c>
      <c r="M202" s="14" t="n">
        <v>8287</v>
      </c>
    </row>
    <row r="203">
      <c r="A203" t="n">
        <v>210</v>
      </c>
      <c r="B203" s="12" t="n">
        <v>32.41182</v>
      </c>
      <c r="C203" s="12" t="n">
        <v>35.01958</v>
      </c>
      <c r="D203" t="inlineStr">
        <is>
          <t>9</t>
        </is>
      </c>
      <c r="E203" t="inlineStr">
        <is>
          <t>רגיל</t>
        </is>
      </c>
      <c r="F203" t="inlineStr">
        <is>
          <t>מרכז (שרון / גוש דן)</t>
        </is>
      </c>
      <c r="G203" t="n">
        <v>20</v>
      </c>
      <c r="H203" s="6" t="n">
        <v>150000</v>
      </c>
      <c r="I203" s="13" t="n">
        <v>8000</v>
      </c>
      <c r="J203" s="13" t="n">
        <v>800</v>
      </c>
      <c r="K203" t="n">
        <v>90</v>
      </c>
      <c r="L203" t="n">
        <v>15.6</v>
      </c>
      <c r="M203" t="n">
        <v>8249</v>
      </c>
    </row>
    <row r="204">
      <c r="A204" s="14" t="n">
        <v>211</v>
      </c>
      <c r="B204" s="15" t="n">
        <v>31.34204</v>
      </c>
      <c r="C204" s="15" t="n">
        <v>34.93297</v>
      </c>
      <c r="D204" s="14" t="inlineStr">
        <is>
          <t>60</t>
        </is>
      </c>
      <c r="E204" s="14" t="inlineStr">
        <is>
          <t>רגיל</t>
        </is>
      </c>
      <c r="F204" s="14" t="inlineStr">
        <is>
          <t>נגב / ערבה</t>
        </is>
      </c>
      <c r="G204" s="14" t="n">
        <v>50</v>
      </c>
      <c r="H204" s="16" t="n">
        <v>250000</v>
      </c>
      <c r="I204" s="17" t="n">
        <v>16000</v>
      </c>
      <c r="J204" s="17" t="n">
        <v>1600</v>
      </c>
      <c r="K204" s="14" t="n">
        <v>90</v>
      </c>
      <c r="L204" s="14" t="n">
        <v>31.2</v>
      </c>
      <c r="M204" s="14" t="n">
        <v>273</v>
      </c>
    </row>
    <row r="205">
      <c r="A205" t="n">
        <v>212</v>
      </c>
      <c r="B205" s="12" t="n">
        <v>31.00948</v>
      </c>
      <c r="C205" s="12" t="n">
        <v>34.7797</v>
      </c>
      <c r="D205" t="inlineStr">
        <is>
          <t>40</t>
        </is>
      </c>
      <c r="E205" t="inlineStr">
        <is>
          <t>עוטף עזה</t>
        </is>
      </c>
      <c r="F205" t="inlineStr">
        <is>
          <t>עוטף עזה / הנגב המערבי</t>
        </is>
      </c>
      <c r="G205" t="n">
        <v>50</v>
      </c>
      <c r="H205" s="6" t="n">
        <v>250000</v>
      </c>
      <c r="I205" s="13" t="n">
        <v>22000</v>
      </c>
      <c r="J205" s="13" t="n">
        <v>2200</v>
      </c>
      <c r="K205" t="n">
        <v>90</v>
      </c>
      <c r="L205" t="n">
        <v>42.9</v>
      </c>
      <c r="M205" t="inlineStr"/>
    </row>
    <row r="206">
      <c r="A206" s="14" t="n">
        <v>213</v>
      </c>
      <c r="B206" s="15" t="n">
        <v>30.98717</v>
      </c>
      <c r="C206" s="15" t="n">
        <v>34.76682</v>
      </c>
      <c r="D206" s="14" t="inlineStr">
        <is>
          <t>40</t>
        </is>
      </c>
      <c r="E206" s="14" t="inlineStr">
        <is>
          <t>עוטף עזה</t>
        </is>
      </c>
      <c r="F206" s="14" t="inlineStr">
        <is>
          <t>עוטף עזה / הנגב המערבי</t>
        </is>
      </c>
      <c r="G206" s="14" t="n">
        <v>50</v>
      </c>
      <c r="H206" s="16" t="n">
        <v>250000</v>
      </c>
      <c r="I206" s="17" t="n">
        <v>22000</v>
      </c>
      <c r="J206" s="17" t="n">
        <v>2200</v>
      </c>
      <c r="K206" s="14" t="n">
        <v>80</v>
      </c>
      <c r="L206" s="14" t="n">
        <v>42.9</v>
      </c>
      <c r="M206" s="14" t="inlineStr"/>
    </row>
    <row r="207">
      <c r="A207" t="n">
        <v>214</v>
      </c>
      <c r="B207" s="12" t="n">
        <v>31.27477</v>
      </c>
      <c r="C207" s="12" t="n">
        <v>34.94342</v>
      </c>
      <c r="D207" t="inlineStr">
        <is>
          <t>31</t>
        </is>
      </c>
      <c r="E207" t="inlineStr">
        <is>
          <t>רגיל</t>
        </is>
      </c>
      <c r="F207" t="inlineStr">
        <is>
          <t>נגב / ערבה</t>
        </is>
      </c>
      <c r="G207" t="n">
        <v>20</v>
      </c>
      <c r="H207" s="6" t="n">
        <v>150000</v>
      </c>
      <c r="I207" s="13" t="n">
        <v>6500</v>
      </c>
      <c r="J207" s="13" t="n">
        <v>650</v>
      </c>
      <c r="K207" t="n">
        <v>90</v>
      </c>
      <c r="L207" t="n">
        <v>12.7</v>
      </c>
      <c r="M207" t="n">
        <v>1231</v>
      </c>
    </row>
    <row r="208">
      <c r="A208" s="14" t="n">
        <v>215</v>
      </c>
      <c r="B208" s="15" t="n">
        <v>32.70875</v>
      </c>
      <c r="C208" s="15" t="n">
        <v>35.30998</v>
      </c>
      <c r="D208" s="14" t="inlineStr">
        <is>
          <t>דרך הציונות</t>
        </is>
      </c>
      <c r="E208" s="14" t="inlineStr">
        <is>
          <t>רגיל</t>
        </is>
      </c>
      <c r="F208" s="14" t="inlineStr">
        <is>
          <t>חיפה / כרמל</t>
        </is>
      </c>
      <c r="G208" s="14" t="n">
        <v>20</v>
      </c>
      <c r="H208" s="16" t="n">
        <v>150000</v>
      </c>
      <c r="I208" s="17" t="n">
        <v>8000</v>
      </c>
      <c r="J208" s="17" t="n">
        <v>800</v>
      </c>
      <c r="K208" s="14" t="n">
        <v>90</v>
      </c>
      <c r="L208" s="14" t="n">
        <v>15.6</v>
      </c>
      <c r="M208" s="14" t="n">
        <v>2017</v>
      </c>
    </row>
    <row r="209">
      <c r="A209" t="n">
        <v>217</v>
      </c>
      <c r="B209" s="12" t="n">
        <v>32.45118</v>
      </c>
      <c r="C209" s="12" t="n">
        <v>34.8932</v>
      </c>
      <c r="D209" t="inlineStr">
        <is>
          <t>כביש החוף</t>
        </is>
      </c>
      <c r="E209" t="inlineStr">
        <is>
          <t>רגיל</t>
        </is>
      </c>
      <c r="F209" t="inlineStr">
        <is>
          <t>מרכז (שרון / גוש דן)</t>
        </is>
      </c>
      <c r="G209" t="n">
        <v>20</v>
      </c>
      <c r="H209" s="6" t="n">
        <v>150000</v>
      </c>
      <c r="I209" s="13" t="n">
        <v>8000</v>
      </c>
      <c r="J209" s="13" t="n">
        <v>800</v>
      </c>
      <c r="K209" t="n">
        <v>90</v>
      </c>
      <c r="L209" t="n">
        <v>15.6</v>
      </c>
      <c r="M209" t="n">
        <v>6118</v>
      </c>
    </row>
    <row r="210">
      <c r="A210" s="14" t="n">
        <v>219</v>
      </c>
      <c r="B210" s="15" t="n">
        <v>32.75386</v>
      </c>
      <c r="C210" s="15" t="n">
        <v>35.41108</v>
      </c>
      <c r="D210" s="14" t="inlineStr">
        <is>
          <t>65</t>
        </is>
      </c>
      <c r="E210" s="14" t="inlineStr">
        <is>
          <t>רגיל</t>
        </is>
      </c>
      <c r="F210" s="14" t="inlineStr">
        <is>
          <t>חיפה / כרמל</t>
        </is>
      </c>
      <c r="G210" s="14" t="n">
        <v>50</v>
      </c>
      <c r="H210" s="16" t="n">
        <v>250000</v>
      </c>
      <c r="I210" s="17" t="n">
        <v>24000</v>
      </c>
      <c r="J210" s="17" t="n">
        <v>2400</v>
      </c>
      <c r="K210" s="14" t="n">
        <v>90</v>
      </c>
      <c r="L210" s="14" t="n">
        <v>46.8</v>
      </c>
      <c r="M210" s="14" t="n">
        <v>580</v>
      </c>
    </row>
    <row r="211">
      <c r="A211" t="n">
        <v>220</v>
      </c>
      <c r="B211" s="12" t="n">
        <v>32.45257</v>
      </c>
      <c r="C211" s="12" t="n">
        <v>34.97321</v>
      </c>
      <c r="D211" t="inlineStr">
        <is>
          <t>65</t>
        </is>
      </c>
      <c r="E211" t="inlineStr">
        <is>
          <t>רגיל</t>
        </is>
      </c>
      <c r="F211" t="inlineStr">
        <is>
          <t>מרכז (שרון / גוש דן)</t>
        </is>
      </c>
      <c r="G211" t="n">
        <v>50</v>
      </c>
      <c r="H211" s="6" t="n">
        <v>250000</v>
      </c>
      <c r="I211" s="13" t="n">
        <v>24000</v>
      </c>
      <c r="J211" s="13" t="n">
        <v>2400</v>
      </c>
      <c r="K211" t="n">
        <v>90</v>
      </c>
      <c r="L211" t="n">
        <v>46.8</v>
      </c>
      <c r="M211" t="n">
        <v>5851</v>
      </c>
    </row>
    <row r="212">
      <c r="A212" s="14" t="n">
        <v>221</v>
      </c>
      <c r="B212" s="15" t="n">
        <v>32.79894</v>
      </c>
      <c r="C212" s="15" t="n">
        <v>35.52056</v>
      </c>
      <c r="D212" s="14" t="inlineStr">
        <is>
          <t>מנחם בגין</t>
        </is>
      </c>
      <c r="E212" s="14" t="inlineStr">
        <is>
          <t>רגיל</t>
        </is>
      </c>
      <c r="F212" s="14" t="inlineStr">
        <is>
          <t>חיפה / כרמל</t>
        </is>
      </c>
      <c r="G212" s="14" t="n">
        <v>20</v>
      </c>
      <c r="H212" s="16" t="n">
        <v>150000</v>
      </c>
      <c r="I212" s="17" t="n">
        <v>8000</v>
      </c>
      <c r="J212" s="17" t="n">
        <v>800</v>
      </c>
      <c r="K212" s="14" t="n">
        <v>90</v>
      </c>
      <c r="L212" s="14" t="n">
        <v>15.6</v>
      </c>
      <c r="M212" s="14" t="n">
        <v>348</v>
      </c>
    </row>
    <row r="213">
      <c r="A213" t="n">
        <v>222</v>
      </c>
      <c r="B213" s="12" t="n">
        <v>31.06652</v>
      </c>
      <c r="C213" s="12" t="n">
        <v>34.83841</v>
      </c>
      <c r="D213" t="inlineStr">
        <is>
          <t>40</t>
        </is>
      </c>
      <c r="E213" t="inlineStr">
        <is>
          <t>עוטף עזה</t>
        </is>
      </c>
      <c r="F213" t="inlineStr">
        <is>
          <t>עוטף עזה / הנגב המערבי</t>
        </is>
      </c>
      <c r="G213" t="n">
        <v>20</v>
      </c>
      <c r="H213" s="6" t="n">
        <v>150000</v>
      </c>
      <c r="I213" s="13" t="n">
        <v>8000</v>
      </c>
      <c r="J213" s="13" t="n">
        <v>800</v>
      </c>
      <c r="K213" t="n">
        <v>90</v>
      </c>
      <c r="L213" t="n">
        <v>15.6</v>
      </c>
      <c r="M213" t="inlineStr"/>
    </row>
    <row r="214">
      <c r="A214" s="14" t="n">
        <v>223</v>
      </c>
      <c r="B214" s="15" t="n">
        <v>32.43746</v>
      </c>
      <c r="C214" s="15" t="n">
        <v>35.02462</v>
      </c>
      <c r="D214" s="14" t="inlineStr">
        <is>
          <t>574</t>
        </is>
      </c>
      <c r="E214" s="14" t="inlineStr">
        <is>
          <t>רגיל</t>
        </is>
      </c>
      <c r="F214" s="14" t="inlineStr">
        <is>
          <t>מרכז (שרון / גוש דן)</t>
        </is>
      </c>
      <c r="G214" s="14" t="n">
        <v>12</v>
      </c>
      <c r="H214" s="16" t="n">
        <v>100000</v>
      </c>
      <c r="I214" s="17" t="n">
        <v>4000</v>
      </c>
      <c r="J214" s="17" t="n">
        <v>400</v>
      </c>
      <c r="K214" s="14" t="n">
        <v>80</v>
      </c>
      <c r="L214" s="14" t="n">
        <v>7.8</v>
      </c>
      <c r="M214" s="14" t="n">
        <v>5557</v>
      </c>
    </row>
    <row r="215">
      <c r="A215" t="n">
        <v>224</v>
      </c>
      <c r="B215" s="12" t="n">
        <v>32.78596</v>
      </c>
      <c r="C215" s="12" t="n">
        <v>35.49496</v>
      </c>
      <c r="D215" t="inlineStr">
        <is>
          <t>מנחם בגין</t>
        </is>
      </c>
      <c r="E215" t="inlineStr">
        <is>
          <t>רגיל</t>
        </is>
      </c>
      <c r="F215" t="inlineStr">
        <is>
          <t>חיפה / כרמל</t>
        </is>
      </c>
      <c r="G215" t="n">
        <v>50</v>
      </c>
      <c r="H215" s="6" t="n">
        <v>250000</v>
      </c>
      <c r="I215" s="13" t="n">
        <v>19000</v>
      </c>
      <c r="J215" s="13" t="n">
        <v>1900</v>
      </c>
      <c r="K215" t="n">
        <v>90</v>
      </c>
      <c r="L215" t="n">
        <v>37.1</v>
      </c>
      <c r="M215" t="n">
        <v>348</v>
      </c>
    </row>
    <row r="216">
      <c r="A216" s="14" t="n">
        <v>226</v>
      </c>
      <c r="B216" s="15" t="n">
        <v>32.6423</v>
      </c>
      <c r="C216" s="15" t="n">
        <v>35.05813</v>
      </c>
      <c r="D216" s="14" t="inlineStr">
        <is>
          <t>672</t>
        </is>
      </c>
      <c r="E216" s="14" t="inlineStr">
        <is>
          <t>רגיל</t>
        </is>
      </c>
      <c r="F216" s="14" t="inlineStr">
        <is>
          <t>חיפה / כרמל</t>
        </is>
      </c>
      <c r="G216" s="14" t="n">
        <v>20</v>
      </c>
      <c r="H216" s="16" t="n">
        <v>150000</v>
      </c>
      <c r="I216" s="17" t="n">
        <v>8000</v>
      </c>
      <c r="J216" s="17" t="n">
        <v>800</v>
      </c>
      <c r="K216" s="14" t="n">
        <v>80</v>
      </c>
      <c r="L216" s="14" t="n">
        <v>15.6</v>
      </c>
      <c r="M216" s="14" t="n">
        <v>2419</v>
      </c>
    </row>
    <row r="217">
      <c r="A217" t="n">
        <v>227</v>
      </c>
      <c r="B217" s="12" t="n">
        <v>32.66137</v>
      </c>
      <c r="C217" s="12" t="n">
        <v>35.23909</v>
      </c>
      <c r="D217" t="inlineStr">
        <is>
          <t>73</t>
        </is>
      </c>
      <c r="E217" t="inlineStr">
        <is>
          <t>רגיל</t>
        </is>
      </c>
      <c r="F217" t="inlineStr">
        <is>
          <t>חיפה / כרמל</t>
        </is>
      </c>
      <c r="G217" t="n">
        <v>20</v>
      </c>
      <c r="H217" s="6" t="n">
        <v>150000</v>
      </c>
      <c r="I217" s="13" t="n">
        <v>8000</v>
      </c>
      <c r="J217" s="13" t="n">
        <v>800</v>
      </c>
      <c r="K217" t="n">
        <v>90</v>
      </c>
      <c r="L217" t="n">
        <v>15.6</v>
      </c>
      <c r="M217" t="n">
        <v>2013</v>
      </c>
    </row>
    <row r="218">
      <c r="A218" s="14" t="n">
        <v>228</v>
      </c>
      <c r="B218" s="15" t="n">
        <v>32.47901</v>
      </c>
      <c r="C218" s="15" t="n">
        <v>34.95591</v>
      </c>
      <c r="D218" s="14" t="inlineStr">
        <is>
          <t>הים</t>
        </is>
      </c>
      <c r="E218" s="14" t="inlineStr">
        <is>
          <t>רגיל</t>
        </is>
      </c>
      <c r="F218" s="14" t="inlineStr">
        <is>
          <t>מרכז (שרון / גוש דן)</t>
        </is>
      </c>
      <c r="G218" s="14" t="n">
        <v>20</v>
      </c>
      <c r="H218" s="16" t="n">
        <v>150000</v>
      </c>
      <c r="I218" s="17" t="n">
        <v>8000</v>
      </c>
      <c r="J218" s="17" t="n">
        <v>800</v>
      </c>
      <c r="K218" s="14" t="n">
        <v>80</v>
      </c>
      <c r="L218" s="14" t="n">
        <v>15.6</v>
      </c>
      <c r="M218" s="14" t="n">
        <v>3911</v>
      </c>
    </row>
    <row r="219">
      <c r="A219" t="n">
        <v>230</v>
      </c>
      <c r="B219" s="12" t="n">
        <v>32.45671</v>
      </c>
      <c r="C219" s="12" t="n">
        <v>35.04691</v>
      </c>
      <c r="D219" t="inlineStr">
        <is>
          <t>האחווה</t>
        </is>
      </c>
      <c r="E219" t="inlineStr">
        <is>
          <t>רגיל</t>
        </is>
      </c>
      <c r="F219" t="inlineStr">
        <is>
          <t>מרכז (שרון / גוש דן)</t>
        </is>
      </c>
      <c r="G219" t="n">
        <v>20</v>
      </c>
      <c r="H219" s="6" t="n">
        <v>150000</v>
      </c>
      <c r="I219" s="13" t="n">
        <v>8000</v>
      </c>
      <c r="J219" s="13" t="n">
        <v>800</v>
      </c>
      <c r="K219" t="n">
        <v>50</v>
      </c>
      <c r="L219" t="n">
        <v>15.6</v>
      </c>
      <c r="M219" t="n">
        <v>3267</v>
      </c>
    </row>
    <row r="220">
      <c r="A220" s="14" t="n">
        <v>231</v>
      </c>
      <c r="B220" s="15" t="n">
        <v>32.50474</v>
      </c>
      <c r="C220" s="15" t="n">
        <v>34.91422</v>
      </c>
      <c r="D220" s="14" t="inlineStr">
        <is>
          <t>כביש החוף</t>
        </is>
      </c>
      <c r="E220" s="14" t="inlineStr">
        <is>
          <t>רגיל</t>
        </is>
      </c>
      <c r="F220" s="14" t="inlineStr">
        <is>
          <t>חיפה / כרמל</t>
        </is>
      </c>
      <c r="G220" s="14" t="n">
        <v>20</v>
      </c>
      <c r="H220" s="16" t="n">
        <v>150000</v>
      </c>
      <c r="I220" s="17" t="n">
        <v>8000</v>
      </c>
      <c r="J220" s="17" t="n">
        <v>800</v>
      </c>
      <c r="K220" s="14" t="n">
        <v>110</v>
      </c>
      <c r="L220" s="14" t="n">
        <v>15.6</v>
      </c>
      <c r="M220" s="14" t="n">
        <v>2956</v>
      </c>
    </row>
    <row r="221">
      <c r="A221" t="n">
        <v>233</v>
      </c>
      <c r="B221" s="12" t="n">
        <v>32.67574</v>
      </c>
      <c r="C221" s="12" t="n">
        <v>35.29197</v>
      </c>
      <c r="D221" t="inlineStr">
        <is>
          <t>60</t>
        </is>
      </c>
      <c r="E221" t="inlineStr">
        <is>
          <t>רגיל</t>
        </is>
      </c>
      <c r="F221" t="inlineStr">
        <is>
          <t>חיפה / כרמל</t>
        </is>
      </c>
      <c r="G221" t="n">
        <v>50</v>
      </c>
      <c r="H221" s="6" t="n">
        <v>250000</v>
      </c>
      <c r="I221" s="13" t="n">
        <v>16000</v>
      </c>
      <c r="J221" s="13" t="n">
        <v>1600</v>
      </c>
      <c r="K221" t="n">
        <v>90</v>
      </c>
      <c r="L221" t="n">
        <v>31.2</v>
      </c>
      <c r="M221" t="n">
        <v>1122</v>
      </c>
    </row>
    <row r="222">
      <c r="A222" s="14" t="n">
        <v>235</v>
      </c>
      <c r="B222" s="15" t="n">
        <v>32.48213</v>
      </c>
      <c r="C222" s="15" t="n">
        <v>35.03479</v>
      </c>
      <c r="D222" s="14" t="inlineStr">
        <is>
          <t>כביש חוצה ישראל</t>
        </is>
      </c>
      <c r="E222" s="14" t="inlineStr">
        <is>
          <t>רגיל</t>
        </is>
      </c>
      <c r="F222" s="14" t="inlineStr">
        <is>
          <t>מרכז (שרון / גוש דן)</t>
        </is>
      </c>
      <c r="G222" s="14" t="n">
        <v>20</v>
      </c>
      <c r="H222" s="16" t="n">
        <v>150000</v>
      </c>
      <c r="I222" s="17" t="n">
        <v>8000</v>
      </c>
      <c r="J222" s="17" t="n">
        <v>800</v>
      </c>
      <c r="K222" s="14" t="n">
        <v>110</v>
      </c>
      <c r="L222" s="14" t="n">
        <v>15.6</v>
      </c>
      <c r="M222" s="14" t="n">
        <v>2660</v>
      </c>
    </row>
    <row r="223">
      <c r="A223" t="n">
        <v>236</v>
      </c>
      <c r="B223" s="12" t="n">
        <v>32.64337</v>
      </c>
      <c r="C223" s="12" t="n">
        <v>34.95866</v>
      </c>
      <c r="D223" t="inlineStr">
        <is>
          <t>כביש חיפה רעננה</t>
        </is>
      </c>
      <c r="E223" t="inlineStr">
        <is>
          <t>רגיל</t>
        </is>
      </c>
      <c r="F223" t="inlineStr">
        <is>
          <t>חיפה / כרמל</t>
        </is>
      </c>
      <c r="G223" t="n">
        <v>20</v>
      </c>
      <c r="H223" s="6" t="n">
        <v>150000</v>
      </c>
      <c r="I223" s="13" t="n">
        <v>8000</v>
      </c>
      <c r="J223" s="13" t="n">
        <v>800</v>
      </c>
      <c r="K223" t="n">
        <v>90</v>
      </c>
      <c r="L223" t="n">
        <v>15.6</v>
      </c>
      <c r="M223" t="n">
        <v>662</v>
      </c>
    </row>
    <row r="224">
      <c r="A224" s="14" t="n">
        <v>238</v>
      </c>
      <c r="B224" s="15" t="n">
        <v>30.93868</v>
      </c>
      <c r="C224" s="15" t="n">
        <v>34.78511</v>
      </c>
      <c r="D224" s="14" t="inlineStr">
        <is>
          <t>40</t>
        </is>
      </c>
      <c r="E224" s="14" t="inlineStr">
        <is>
          <t>עוטף עזה</t>
        </is>
      </c>
      <c r="F224" s="14" t="inlineStr">
        <is>
          <t>עוטף עזה / הנגב המערבי</t>
        </is>
      </c>
      <c r="G224" s="14" t="n">
        <v>50</v>
      </c>
      <c r="H224" s="16" t="n">
        <v>250000</v>
      </c>
      <c r="I224" s="17" t="n">
        <v>22000</v>
      </c>
      <c r="J224" s="17" t="n">
        <v>2200</v>
      </c>
      <c r="K224" s="14" t="n">
        <v>90</v>
      </c>
      <c r="L224" s="14" t="n">
        <v>42.9</v>
      </c>
      <c r="M224" s="14" t="inlineStr"/>
    </row>
    <row r="225">
      <c r="A225" t="n">
        <v>240</v>
      </c>
      <c r="B225" s="12" t="n">
        <v>31.1853</v>
      </c>
      <c r="C225" s="12" t="n">
        <v>34.95695</v>
      </c>
      <c r="D225" t="inlineStr">
        <is>
          <t>25</t>
        </is>
      </c>
      <c r="E225" t="inlineStr">
        <is>
          <t>רגיל</t>
        </is>
      </c>
      <c r="F225" t="inlineStr">
        <is>
          <t>נגב / ערבה</t>
        </is>
      </c>
      <c r="G225" t="n">
        <v>20</v>
      </c>
      <c r="H225" s="6" t="n">
        <v>150000</v>
      </c>
      <c r="I225" s="13" t="n">
        <v>7000</v>
      </c>
      <c r="J225" s="13" t="n">
        <v>700</v>
      </c>
      <c r="K225" t="n">
        <v>90</v>
      </c>
      <c r="L225" t="n">
        <v>13.7</v>
      </c>
      <c r="M225" t="n">
        <v>442</v>
      </c>
    </row>
    <row r="226">
      <c r="A226" s="14" t="n">
        <v>241</v>
      </c>
      <c r="B226" s="15" t="n">
        <v>32.5173</v>
      </c>
      <c r="C226" s="15" t="n">
        <v>34.99246</v>
      </c>
      <c r="D226" s="14" t="inlineStr">
        <is>
          <t>654</t>
        </is>
      </c>
      <c r="E226" s="14" t="inlineStr">
        <is>
          <t>רגיל</t>
        </is>
      </c>
      <c r="F226" s="14" t="inlineStr">
        <is>
          <t>חיפה / כרמל</t>
        </is>
      </c>
      <c r="G226" s="14" t="n">
        <v>20</v>
      </c>
      <c r="H226" s="16" t="n">
        <v>150000</v>
      </c>
      <c r="I226" s="17" t="n">
        <v>8000</v>
      </c>
      <c r="J226" s="17" t="n">
        <v>800</v>
      </c>
      <c r="K226" s="14" t="n">
        <v>80</v>
      </c>
      <c r="L226" s="14" t="n">
        <v>15.6</v>
      </c>
      <c r="M226" s="14" t="n">
        <v>1768</v>
      </c>
    </row>
    <row r="227">
      <c r="A227" t="n">
        <v>242</v>
      </c>
      <c r="B227" s="12" t="n">
        <v>32.77382</v>
      </c>
      <c r="C227" s="12" t="n">
        <v>35.54631</v>
      </c>
      <c r="D227" t="inlineStr">
        <is>
          <t>שדרות אליעזר קפלן</t>
        </is>
      </c>
      <c r="E227" t="inlineStr">
        <is>
          <t>רגיל</t>
        </is>
      </c>
      <c r="F227" t="inlineStr">
        <is>
          <t>חיפה / כרמל</t>
        </is>
      </c>
      <c r="G227" t="n">
        <v>20</v>
      </c>
      <c r="H227" s="6" t="n">
        <v>150000</v>
      </c>
      <c r="I227" s="13" t="n">
        <v>8000</v>
      </c>
      <c r="J227" s="13" t="n">
        <v>800</v>
      </c>
      <c r="K227" t="n">
        <v>60</v>
      </c>
      <c r="L227" t="n">
        <v>15.6</v>
      </c>
      <c r="M227" t="inlineStr"/>
    </row>
    <row r="228">
      <c r="A228" s="14" t="n">
        <v>244</v>
      </c>
      <c r="B228" s="15" t="n">
        <v>31.31285</v>
      </c>
      <c r="C228" s="15" t="n">
        <v>34.99488</v>
      </c>
      <c r="D228" s="14" t="inlineStr">
        <is>
          <t>316</t>
        </is>
      </c>
      <c r="E228" s="14" t="inlineStr">
        <is>
          <t>רגיל</t>
        </is>
      </c>
      <c r="F228" s="14" t="inlineStr">
        <is>
          <t>נגב / ערבה</t>
        </is>
      </c>
      <c r="G228" s="14" t="n">
        <v>20</v>
      </c>
      <c r="H228" s="16" t="n">
        <v>150000</v>
      </c>
      <c r="I228" s="17" t="n">
        <v>8000</v>
      </c>
      <c r="J228" s="17" t="n">
        <v>800</v>
      </c>
      <c r="K228" s="14" t="n">
        <v>80</v>
      </c>
      <c r="L228" s="14" t="n">
        <v>15.6</v>
      </c>
      <c r="M228" s="14" t="n">
        <v>217</v>
      </c>
    </row>
    <row r="229">
      <c r="A229" t="n">
        <v>248</v>
      </c>
      <c r="B229" s="12" t="n">
        <v>32.61908</v>
      </c>
      <c r="C229" s="12" t="n">
        <v>35.05488</v>
      </c>
      <c r="D229" t="inlineStr">
        <is>
          <t>כביש חוצה ישראל</t>
        </is>
      </c>
      <c r="E229" t="inlineStr">
        <is>
          <t>רגיל</t>
        </is>
      </c>
      <c r="F229" t="inlineStr">
        <is>
          <t>חיפה / כרמל</t>
        </is>
      </c>
      <c r="G229" t="n">
        <v>20</v>
      </c>
      <c r="H229" s="6" t="n">
        <v>150000</v>
      </c>
      <c r="I229" s="13" t="n">
        <v>8000</v>
      </c>
      <c r="J229" s="13" t="n">
        <v>800</v>
      </c>
      <c r="K229" t="n">
        <v>120</v>
      </c>
      <c r="L229" t="n">
        <v>15.6</v>
      </c>
      <c r="M229" t="n">
        <v>1099</v>
      </c>
    </row>
    <row r="230">
      <c r="A230" s="14" t="n">
        <v>249</v>
      </c>
      <c r="B230" s="15" t="n">
        <v>32.53646</v>
      </c>
      <c r="C230" s="15" t="n">
        <v>34.92907</v>
      </c>
      <c r="D230" s="14" t="inlineStr">
        <is>
          <t>כביש חיפה רעננה</t>
        </is>
      </c>
      <c r="E230" s="14" t="inlineStr">
        <is>
          <t>רגיל</t>
        </is>
      </c>
      <c r="F230" s="14" t="inlineStr">
        <is>
          <t>חיפה / כרמל</t>
        </is>
      </c>
      <c r="G230" s="14" t="n">
        <v>20</v>
      </c>
      <c r="H230" s="16" t="n">
        <v>150000</v>
      </c>
      <c r="I230" s="17" t="n">
        <v>8000</v>
      </c>
      <c r="J230" s="17" t="n">
        <v>800</v>
      </c>
      <c r="K230" s="14" t="n">
        <v>90</v>
      </c>
      <c r="L230" s="14" t="n">
        <v>15.6</v>
      </c>
      <c r="M230" s="14" t="n">
        <v>881</v>
      </c>
    </row>
    <row r="231">
      <c r="A231" t="n">
        <v>250</v>
      </c>
      <c r="B231" s="12" t="n">
        <v>31.25485</v>
      </c>
      <c r="C231" s="12" t="n">
        <v>35.21055</v>
      </c>
      <c r="D231" t="inlineStr">
        <is>
          <t>31</t>
        </is>
      </c>
      <c r="E231" t="inlineStr">
        <is>
          <t>רגיל</t>
        </is>
      </c>
      <c r="F231" t="inlineStr">
        <is>
          <t>נגב / ערבה</t>
        </is>
      </c>
      <c r="G231" t="n">
        <v>20</v>
      </c>
      <c r="H231" s="6" t="n">
        <v>150000</v>
      </c>
      <c r="I231" s="13" t="n">
        <v>6500</v>
      </c>
      <c r="J231" s="13" t="n">
        <v>650</v>
      </c>
      <c r="K231" t="n">
        <v>90</v>
      </c>
      <c r="L231" t="n">
        <v>12.7</v>
      </c>
      <c r="M231" t="n">
        <v>753</v>
      </c>
    </row>
    <row r="232">
      <c r="A232" s="14" t="n">
        <v>251</v>
      </c>
      <c r="B232" s="15" t="n">
        <v>31.29801</v>
      </c>
      <c r="C232" s="15" t="n">
        <v>35.13199</v>
      </c>
      <c r="D232" s="14" t="inlineStr">
        <is>
          <t>80</t>
        </is>
      </c>
      <c r="E232" s="14" t="inlineStr">
        <is>
          <t>רגיל</t>
        </is>
      </c>
      <c r="F232" s="14" t="inlineStr">
        <is>
          <t>נגב / ערבה</t>
        </is>
      </c>
      <c r="G232" s="14" t="n">
        <v>20</v>
      </c>
      <c r="H232" s="16" t="n">
        <v>150000</v>
      </c>
      <c r="I232" s="17" t="n">
        <v>8000</v>
      </c>
      <c r="J232" s="17" t="n">
        <v>800</v>
      </c>
      <c r="K232" s="14" t="n">
        <v>90</v>
      </c>
      <c r="L232" s="14" t="n">
        <v>15.6</v>
      </c>
      <c r="M232" s="14" t="n">
        <v>753</v>
      </c>
    </row>
    <row r="233">
      <c r="A233" t="n">
        <v>252</v>
      </c>
      <c r="B233" s="12" t="n">
        <v>32.56323</v>
      </c>
      <c r="C233" s="12" t="n">
        <v>34.95873</v>
      </c>
      <c r="D233" t="inlineStr">
        <is>
          <t>652</t>
        </is>
      </c>
      <c r="E233" t="inlineStr">
        <is>
          <t>רגיל</t>
        </is>
      </c>
      <c r="F233" t="inlineStr">
        <is>
          <t>חיפה / כרמל</t>
        </is>
      </c>
      <c r="G233" t="n">
        <v>12</v>
      </c>
      <c r="H233" s="6" t="n">
        <v>100000</v>
      </c>
      <c r="I233" s="13" t="n">
        <v>4000</v>
      </c>
      <c r="J233" s="13" t="n">
        <v>400</v>
      </c>
      <c r="K233" t="n">
        <v>80</v>
      </c>
      <c r="L233" t="n">
        <v>7.8</v>
      </c>
      <c r="M233" t="n">
        <v>587</v>
      </c>
    </row>
    <row r="234">
      <c r="A234" s="14" t="n">
        <v>253</v>
      </c>
      <c r="B234" s="15" t="n">
        <v>32.52426</v>
      </c>
      <c r="C234" s="15" t="n">
        <v>35.02544</v>
      </c>
      <c r="D234" s="14" t="inlineStr">
        <is>
          <t>653</t>
        </is>
      </c>
      <c r="E234" s="14" t="inlineStr">
        <is>
          <t>רגיל</t>
        </is>
      </c>
      <c r="F234" s="14" t="inlineStr">
        <is>
          <t>חיפה / כרמל</t>
        </is>
      </c>
      <c r="G234" s="14" t="n">
        <v>20</v>
      </c>
      <c r="H234" s="16" t="n">
        <v>150000</v>
      </c>
      <c r="I234" s="17" t="n">
        <v>8000</v>
      </c>
      <c r="J234" s="17" t="n">
        <v>800</v>
      </c>
      <c r="K234" s="14" t="n">
        <v>80</v>
      </c>
      <c r="L234" s="14" t="n">
        <v>15.6</v>
      </c>
      <c r="M234" s="14" t="n">
        <v>587</v>
      </c>
    </row>
    <row r="235">
      <c r="A235" t="n">
        <v>254</v>
      </c>
      <c r="B235" s="12" t="n">
        <v>31.2012</v>
      </c>
      <c r="C235" s="12" t="n">
        <v>35.35995</v>
      </c>
      <c r="D235" t="inlineStr">
        <is>
          <t>דרך ים המלח</t>
        </is>
      </c>
      <c r="E235" t="inlineStr">
        <is>
          <t>רגיל</t>
        </is>
      </c>
      <c r="F235" t="inlineStr">
        <is>
          <t>נגב / ערבה</t>
        </is>
      </c>
      <c r="G235" t="n">
        <v>20</v>
      </c>
      <c r="H235" s="6" t="n">
        <v>150000</v>
      </c>
      <c r="I235" s="13" t="n">
        <v>8000</v>
      </c>
      <c r="J235" s="13" t="n">
        <v>800</v>
      </c>
      <c r="K235" t="n">
        <v>90</v>
      </c>
      <c r="L235" t="n">
        <v>15.6</v>
      </c>
      <c r="M235" t="n">
        <v>536</v>
      </c>
    </row>
    <row r="236">
      <c r="A236" s="14" t="n">
        <v>255</v>
      </c>
      <c r="B236" s="15" t="n">
        <v>31.19194</v>
      </c>
      <c r="C236" s="15" t="n">
        <v>35.28031</v>
      </c>
      <c r="D236" s="14" t="inlineStr">
        <is>
          <t>31</t>
        </is>
      </c>
      <c r="E236" s="14" t="inlineStr">
        <is>
          <t>רגיל</t>
        </is>
      </c>
      <c r="F236" s="14" t="inlineStr">
        <is>
          <t>נגב / ערבה</t>
        </is>
      </c>
      <c r="G236" s="14" t="n">
        <v>20</v>
      </c>
      <c r="H236" s="16" t="n">
        <v>150000</v>
      </c>
      <c r="I236" s="17" t="n">
        <v>6500</v>
      </c>
      <c r="J236" s="17" t="n">
        <v>650</v>
      </c>
      <c r="K236" s="14" t="n">
        <v>90</v>
      </c>
      <c r="L236" s="14" t="n">
        <v>12.7</v>
      </c>
      <c r="M236" s="14" t="n">
        <v>536</v>
      </c>
    </row>
    <row r="237">
      <c r="A237" t="n">
        <v>256</v>
      </c>
      <c r="B237" s="12" t="n">
        <v>31.25015</v>
      </c>
      <c r="C237" s="12" t="n">
        <v>35.36307</v>
      </c>
      <c r="D237" t="inlineStr">
        <is>
          <t>דרך ים המלח</t>
        </is>
      </c>
      <c r="E237" t="inlineStr">
        <is>
          <t>רגיל</t>
        </is>
      </c>
      <c r="F237" t="inlineStr">
        <is>
          <t>נגב / ערבה</t>
        </is>
      </c>
      <c r="G237" t="n">
        <v>20</v>
      </c>
      <c r="H237" s="6" t="n">
        <v>150000</v>
      </c>
      <c r="I237" s="13" t="n">
        <v>8000</v>
      </c>
      <c r="J237" s="13" t="n">
        <v>800</v>
      </c>
      <c r="K237" t="n">
        <v>80</v>
      </c>
      <c r="L237" t="n">
        <v>15.6</v>
      </c>
      <c r="M237" t="n">
        <v>536</v>
      </c>
    </row>
    <row r="238">
      <c r="A238" s="14" t="n">
        <v>257</v>
      </c>
      <c r="B238" s="15" t="n">
        <v>32.5864</v>
      </c>
      <c r="C238" s="15" t="n">
        <v>35.43541</v>
      </c>
      <c r="D238" s="14" t="inlineStr">
        <is>
          <t>717</t>
        </is>
      </c>
      <c r="E238" s="14" t="inlineStr">
        <is>
          <t>רגיל</t>
        </is>
      </c>
      <c r="F238" s="14" t="inlineStr">
        <is>
          <t>חיפה / כרמל</t>
        </is>
      </c>
      <c r="G238" s="14" t="n">
        <v>20</v>
      </c>
      <c r="H238" s="16" t="n">
        <v>150000</v>
      </c>
      <c r="I238" s="17" t="n">
        <v>8000</v>
      </c>
      <c r="J238" s="17" t="n">
        <v>800</v>
      </c>
      <c r="K238" s="14" t="n">
        <v>80</v>
      </c>
      <c r="L238" s="14" t="n">
        <v>15.6</v>
      </c>
      <c r="M238" s="14" t="n">
        <v>510</v>
      </c>
    </row>
    <row r="239">
      <c r="A239" t="n">
        <v>258</v>
      </c>
      <c r="B239" s="12" t="n">
        <v>31.25249</v>
      </c>
      <c r="C239" s="12" t="n">
        <v>35.12599</v>
      </c>
      <c r="D239" t="inlineStr">
        <is>
          <t>80</t>
        </is>
      </c>
      <c r="E239" t="inlineStr">
        <is>
          <t>רגיל</t>
        </is>
      </c>
      <c r="F239" t="inlineStr">
        <is>
          <t>נגב / ערבה</t>
        </is>
      </c>
      <c r="G239" t="n">
        <v>20</v>
      </c>
      <c r="H239" s="6" t="n">
        <v>150000</v>
      </c>
      <c r="I239" s="13" t="n">
        <v>8000</v>
      </c>
      <c r="J239" s="13" t="n">
        <v>800</v>
      </c>
      <c r="K239" t="n">
        <v>90</v>
      </c>
      <c r="L239" t="n">
        <v>15.6</v>
      </c>
      <c r="M239" t="n">
        <v>500</v>
      </c>
    </row>
    <row r="240">
      <c r="A240" s="14" t="n">
        <v>259</v>
      </c>
      <c r="B240" s="15" t="n">
        <v>31.2344</v>
      </c>
      <c r="C240" s="15" t="n">
        <v>35.10819</v>
      </c>
      <c r="D240" s="14" t="inlineStr">
        <is>
          <t>80</t>
        </is>
      </c>
      <c r="E240" s="14" t="inlineStr">
        <is>
          <t>רגיל</t>
        </is>
      </c>
      <c r="F240" s="14" t="inlineStr">
        <is>
          <t>נגב / ערבה</t>
        </is>
      </c>
      <c r="G240" s="14" t="n">
        <v>12</v>
      </c>
      <c r="H240" s="16" t="n">
        <v>100000</v>
      </c>
      <c r="I240" s="17" t="n">
        <v>4000</v>
      </c>
      <c r="J240" s="17" t="n">
        <v>400</v>
      </c>
      <c r="K240" s="14" t="n">
        <v>90</v>
      </c>
      <c r="L240" s="14" t="n">
        <v>7.8</v>
      </c>
      <c r="M240" s="14" t="n">
        <v>500</v>
      </c>
    </row>
    <row r="241">
      <c r="A241" t="n">
        <v>260</v>
      </c>
      <c r="B241" s="12" t="n">
        <v>31.2565</v>
      </c>
      <c r="C241" s="12" t="n">
        <v>35.09862</v>
      </c>
      <c r="D241" t="inlineStr">
        <is>
          <t>31</t>
        </is>
      </c>
      <c r="E241" t="inlineStr">
        <is>
          <t>רגיל</t>
        </is>
      </c>
      <c r="F241" t="inlineStr">
        <is>
          <t>נגב / ערבה</t>
        </is>
      </c>
      <c r="G241" t="n">
        <v>20</v>
      </c>
      <c r="H241" s="6" t="n">
        <v>150000</v>
      </c>
      <c r="I241" s="13" t="n">
        <v>6500</v>
      </c>
      <c r="J241" s="13" t="n">
        <v>650</v>
      </c>
      <c r="K241" t="n">
        <v>90</v>
      </c>
      <c r="L241" t="n">
        <v>12.7</v>
      </c>
      <c r="M241" t="n">
        <v>500</v>
      </c>
    </row>
    <row r="242">
      <c r="A242" s="14" t="n">
        <v>261</v>
      </c>
      <c r="B242" s="15" t="n">
        <v>31.16767</v>
      </c>
      <c r="C242" s="15" t="n">
        <v>35.04596</v>
      </c>
      <c r="D242" s="14" t="inlineStr">
        <is>
          <t>80</t>
        </is>
      </c>
      <c r="E242" s="14" t="inlineStr">
        <is>
          <t>רגיל</t>
        </is>
      </c>
      <c r="F242" s="14" t="inlineStr">
        <is>
          <t>נגב / ערבה</t>
        </is>
      </c>
      <c r="G242" s="14" t="n">
        <v>20</v>
      </c>
      <c r="H242" s="16" t="n">
        <v>150000</v>
      </c>
      <c r="I242" s="17" t="n">
        <v>8000</v>
      </c>
      <c r="J242" s="17" t="n">
        <v>800</v>
      </c>
      <c r="K242" s="14" t="n">
        <v>90</v>
      </c>
      <c r="L242" s="14" t="n">
        <v>15.6</v>
      </c>
      <c r="M242" s="14" t="n">
        <v>442</v>
      </c>
    </row>
    <row r="243">
      <c r="A243" t="n">
        <v>262</v>
      </c>
      <c r="B243" s="12" t="n">
        <v>31.26291</v>
      </c>
      <c r="C243" s="12" t="n">
        <v>35.02142</v>
      </c>
      <c r="D243" t="inlineStr">
        <is>
          <t>31</t>
        </is>
      </c>
      <c r="E243" t="inlineStr">
        <is>
          <t>רגיל</t>
        </is>
      </c>
      <c r="F243" t="inlineStr">
        <is>
          <t>נגב / ערבה</t>
        </is>
      </c>
      <c r="G243" t="n">
        <v>20</v>
      </c>
      <c r="H243" s="6" t="n">
        <v>150000</v>
      </c>
      <c r="I243" s="13" t="n">
        <v>6500</v>
      </c>
      <c r="J243" s="13" t="n">
        <v>650</v>
      </c>
      <c r="K243" t="n">
        <v>90</v>
      </c>
      <c r="L243" t="n">
        <v>12.7</v>
      </c>
      <c r="M243" t="n">
        <v>442</v>
      </c>
    </row>
    <row r="244">
      <c r="A244" s="14" t="n">
        <v>263</v>
      </c>
      <c r="B244" s="15" t="n">
        <v>31.15683</v>
      </c>
      <c r="C244" s="15" t="n">
        <v>34.995</v>
      </c>
      <c r="D244" s="14" t="inlineStr">
        <is>
          <t>80</t>
        </is>
      </c>
      <c r="E244" s="14" t="inlineStr">
        <is>
          <t>רגיל</t>
        </is>
      </c>
      <c r="F244" s="14" t="inlineStr">
        <is>
          <t>נגב / ערבה</t>
        </is>
      </c>
      <c r="G244" s="14" t="n">
        <v>20</v>
      </c>
      <c r="H244" s="16" t="n">
        <v>150000</v>
      </c>
      <c r="I244" s="17" t="n">
        <v>8000</v>
      </c>
      <c r="J244" s="17" t="n">
        <v>800</v>
      </c>
      <c r="K244" s="14" t="n">
        <v>90</v>
      </c>
      <c r="L244" s="14" t="n">
        <v>15.6</v>
      </c>
      <c r="M244" s="14" t="n">
        <v>442</v>
      </c>
    </row>
    <row r="245">
      <c r="A245" t="n">
        <v>264</v>
      </c>
      <c r="B245" s="12" t="n">
        <v>32.60198</v>
      </c>
      <c r="C245" s="12" t="n">
        <v>35.08464</v>
      </c>
      <c r="D245" t="inlineStr">
        <is>
          <t>672</t>
        </is>
      </c>
      <c r="E245" t="inlineStr">
        <is>
          <t>רגיל</t>
        </is>
      </c>
      <c r="F245" t="inlineStr">
        <is>
          <t>חיפה / כרמל</t>
        </is>
      </c>
      <c r="G245" t="n">
        <v>20</v>
      </c>
      <c r="H245" s="6" t="n">
        <v>150000</v>
      </c>
      <c r="I245" s="13" t="n">
        <v>8000</v>
      </c>
      <c r="J245" s="13" t="n">
        <v>800</v>
      </c>
      <c r="K245" t="n">
        <v>80</v>
      </c>
      <c r="L245" t="n">
        <v>15.6</v>
      </c>
      <c r="M245" t="n">
        <v>440</v>
      </c>
    </row>
    <row r="246">
      <c r="A246" s="14" t="n">
        <v>265</v>
      </c>
      <c r="B246" s="15" t="n">
        <v>32.71782</v>
      </c>
      <c r="C246" s="15" t="n">
        <v>35.43847</v>
      </c>
      <c r="D246" s="14" t="inlineStr">
        <is>
          <t>דרך המושבות</t>
        </is>
      </c>
      <c r="E246" s="14" t="inlineStr">
        <is>
          <t>רגיל</t>
        </is>
      </c>
      <c r="F246" s="14" t="inlineStr">
        <is>
          <t>חיפה / כרמל</t>
        </is>
      </c>
      <c r="G246" s="14" t="n">
        <v>12</v>
      </c>
      <c r="H246" s="16" t="n">
        <v>100000</v>
      </c>
      <c r="I246" s="17" t="n">
        <v>4000</v>
      </c>
      <c r="J246" s="17" t="n">
        <v>400</v>
      </c>
      <c r="K246" s="14" t="n">
        <v>80</v>
      </c>
      <c r="L246" s="14" t="n">
        <v>7.8</v>
      </c>
      <c r="M246" s="14" t="n">
        <v>232</v>
      </c>
    </row>
    <row r="247">
      <c r="A247" t="n">
        <v>266</v>
      </c>
      <c r="B247" s="12" t="n">
        <v>30.61281</v>
      </c>
      <c r="C247" s="12" t="n">
        <v>34.85762</v>
      </c>
      <c r="D247" t="inlineStr">
        <is>
          <t>40</t>
        </is>
      </c>
      <c r="E247" t="inlineStr">
        <is>
          <t>עוטף עזה</t>
        </is>
      </c>
      <c r="F247" t="inlineStr">
        <is>
          <t>עוטף עזה / הנגב המערבי</t>
        </is>
      </c>
      <c r="G247" t="n">
        <v>50</v>
      </c>
      <c r="H247" s="6" t="n">
        <v>250000</v>
      </c>
      <c r="I247" s="13" t="n">
        <v>22000</v>
      </c>
      <c r="J247" s="13" t="n">
        <v>2200</v>
      </c>
      <c r="K247" t="n">
        <v>80</v>
      </c>
      <c r="L247" t="n">
        <v>42.9</v>
      </c>
      <c r="M247" t="n">
        <v>284</v>
      </c>
    </row>
    <row r="248">
      <c r="A248" s="14" t="n">
        <v>267</v>
      </c>
      <c r="B248" s="15" t="n">
        <v>30.62719</v>
      </c>
      <c r="C248" s="15" t="n">
        <v>34.80473</v>
      </c>
      <c r="D248" s="14" t="inlineStr">
        <is>
          <t>40</t>
        </is>
      </c>
      <c r="E248" s="14" t="inlineStr">
        <is>
          <t>עוטף עזה</t>
        </is>
      </c>
      <c r="F248" s="14" t="inlineStr">
        <is>
          <t>עוטף עזה / הנגב המערבי</t>
        </is>
      </c>
      <c r="G248" s="14" t="n">
        <v>50</v>
      </c>
      <c r="H248" s="16" t="n">
        <v>250000</v>
      </c>
      <c r="I248" s="17" t="n">
        <v>22000</v>
      </c>
      <c r="J248" s="17" t="n">
        <v>2200</v>
      </c>
      <c r="K248" s="14" t="n">
        <v>90</v>
      </c>
      <c r="L248" s="14" t="n">
        <v>42.9</v>
      </c>
      <c r="M248" s="14" t="n">
        <v>284</v>
      </c>
    </row>
    <row r="249">
      <c r="A249" t="n">
        <v>268</v>
      </c>
      <c r="B249" s="12" t="n">
        <v>30.6616</v>
      </c>
      <c r="C249" s="12" t="n">
        <v>34.80929</v>
      </c>
      <c r="D249" t="inlineStr">
        <is>
          <t>40</t>
        </is>
      </c>
      <c r="E249" t="inlineStr">
        <is>
          <t>עוטף עזה</t>
        </is>
      </c>
      <c r="F249" t="inlineStr">
        <is>
          <t>עוטף עזה / הנגב המערבי</t>
        </is>
      </c>
      <c r="G249" t="n">
        <v>50</v>
      </c>
      <c r="H249" s="6" t="n">
        <v>250000</v>
      </c>
      <c r="I249" s="13" t="n">
        <v>22000</v>
      </c>
      <c r="J249" s="13" t="n">
        <v>2200</v>
      </c>
      <c r="K249" t="n">
        <v>90</v>
      </c>
      <c r="L249" t="n">
        <v>42.9</v>
      </c>
      <c r="M249" t="n">
        <v>284</v>
      </c>
    </row>
    <row r="250">
      <c r="A250" s="14" t="n">
        <v>269</v>
      </c>
      <c r="B250" s="15" t="n">
        <v>30.5665</v>
      </c>
      <c r="C250" s="15" t="n">
        <v>34.90431</v>
      </c>
      <c r="D250" s="14" t="inlineStr">
        <is>
          <t>40</t>
        </is>
      </c>
      <c r="E250" s="14" t="inlineStr">
        <is>
          <t>רגיל</t>
        </is>
      </c>
      <c r="F250" s="14" t="inlineStr">
        <is>
          <t>נגב / ערבה</t>
        </is>
      </c>
      <c r="G250" s="14" t="n">
        <v>50</v>
      </c>
      <c r="H250" s="16" t="n">
        <v>250000</v>
      </c>
      <c r="I250" s="17" t="n">
        <v>22000</v>
      </c>
      <c r="J250" s="17" t="n">
        <v>2200</v>
      </c>
      <c r="K250" s="14" t="n">
        <v>80</v>
      </c>
      <c r="L250" s="14" t="n">
        <v>42.9</v>
      </c>
      <c r="M250" s="14" t="n">
        <v>284</v>
      </c>
    </row>
    <row r="251">
      <c r="A251" t="n">
        <v>270</v>
      </c>
      <c r="B251" s="12" t="n">
        <v>30.72685</v>
      </c>
      <c r="C251" s="12" t="n">
        <v>34.77465</v>
      </c>
      <c r="D251" t="inlineStr">
        <is>
          <t>40</t>
        </is>
      </c>
      <c r="E251" t="inlineStr">
        <is>
          <t>עוטף עזה</t>
        </is>
      </c>
      <c r="F251" t="inlineStr">
        <is>
          <t>עוטף עזה / הנגב המערבי</t>
        </is>
      </c>
      <c r="G251" t="n">
        <v>50</v>
      </c>
      <c r="H251" s="6" t="n">
        <v>250000</v>
      </c>
      <c r="I251" s="13" t="n">
        <v>22000</v>
      </c>
      <c r="J251" s="13" t="n">
        <v>2200</v>
      </c>
      <c r="K251" t="n">
        <v>90</v>
      </c>
      <c r="L251" t="n">
        <v>42.9</v>
      </c>
      <c r="M251" t="n">
        <v>284</v>
      </c>
    </row>
    <row r="252">
      <c r="A252" s="14" t="n">
        <v>271</v>
      </c>
      <c r="B252" s="15" t="n">
        <v>31.14917</v>
      </c>
      <c r="C252" s="15" t="n">
        <v>35.22181</v>
      </c>
      <c r="D252" s="14" t="inlineStr">
        <is>
          <t>258</t>
        </is>
      </c>
      <c r="E252" s="14" t="inlineStr">
        <is>
          <t>רגיל</t>
        </is>
      </c>
      <c r="F252" s="14" t="inlineStr">
        <is>
          <t>נגב / ערבה</t>
        </is>
      </c>
      <c r="G252" s="14" t="n">
        <v>20</v>
      </c>
      <c r="H252" s="16" t="n">
        <v>150000</v>
      </c>
      <c r="I252" s="17" t="n">
        <v>8000</v>
      </c>
      <c r="J252" s="17" t="n">
        <v>800</v>
      </c>
      <c r="K252" s="14" t="n">
        <v>80</v>
      </c>
      <c r="L252" s="14" t="n">
        <v>15.6</v>
      </c>
      <c r="M252" s="14" t="n">
        <v>283</v>
      </c>
    </row>
    <row r="253">
      <c r="A253" t="n">
        <v>273</v>
      </c>
      <c r="B253" s="12" t="n">
        <v>31.31343</v>
      </c>
      <c r="C253" s="12" t="n">
        <v>35.38376</v>
      </c>
      <c r="D253" t="inlineStr">
        <is>
          <t>דרך ים המלח</t>
        </is>
      </c>
      <c r="E253" t="inlineStr">
        <is>
          <t>רגיל</t>
        </is>
      </c>
      <c r="F253" t="inlineStr">
        <is>
          <t>נגב / ערבה</t>
        </is>
      </c>
      <c r="G253" t="n">
        <v>20</v>
      </c>
      <c r="H253" s="6" t="n">
        <v>150000</v>
      </c>
      <c r="I253" s="13" t="n">
        <v>8000</v>
      </c>
      <c r="J253" s="13" t="n">
        <v>800</v>
      </c>
      <c r="K253" t="n">
        <v>80</v>
      </c>
      <c r="L253" t="n">
        <v>15.6</v>
      </c>
      <c r="M253" t="n">
        <v>253</v>
      </c>
    </row>
    <row r="254">
      <c r="A254" s="14" t="n">
        <v>274</v>
      </c>
      <c r="B254" s="15" t="n">
        <v>32.6126</v>
      </c>
      <c r="C254" s="15" t="n">
        <v>35.54892</v>
      </c>
      <c r="D254" s="14" t="inlineStr">
        <is>
          <t>90</t>
        </is>
      </c>
      <c r="E254" s="14" t="inlineStr">
        <is>
          <t>רגיל</t>
        </is>
      </c>
      <c r="F254" s="14" t="inlineStr">
        <is>
          <t>חיפה / כרמל</t>
        </is>
      </c>
      <c r="G254" s="14" t="n">
        <v>20</v>
      </c>
      <c r="H254" s="16" t="n">
        <v>150000</v>
      </c>
      <c r="I254" s="17" t="n">
        <v>9000</v>
      </c>
      <c r="J254" s="17" t="n">
        <v>900</v>
      </c>
      <c r="K254" s="14" t="n">
        <v>80</v>
      </c>
      <c r="L254" s="14" t="n">
        <v>17.6</v>
      </c>
      <c r="M254" s="14" t="n">
        <v>232</v>
      </c>
    </row>
    <row r="255">
      <c r="A255" t="n">
        <v>275</v>
      </c>
      <c r="B255" s="12" t="n">
        <v>32.70236</v>
      </c>
      <c r="C255" s="12" t="n">
        <v>35.41203</v>
      </c>
      <c r="D255" t="inlineStr">
        <is>
          <t>65</t>
        </is>
      </c>
      <c r="E255" t="inlineStr">
        <is>
          <t>רגיל</t>
        </is>
      </c>
      <c r="F255" t="inlineStr">
        <is>
          <t>חיפה / כרמל</t>
        </is>
      </c>
      <c r="G255" t="n">
        <v>50</v>
      </c>
      <c r="H255" s="6" t="n">
        <v>250000</v>
      </c>
      <c r="I255" s="13" t="n">
        <v>24000</v>
      </c>
      <c r="J255" s="13" t="n">
        <v>2400</v>
      </c>
      <c r="K255" t="n">
        <v>80</v>
      </c>
      <c r="L255" t="n">
        <v>46.8</v>
      </c>
      <c r="M255" t="n">
        <v>232</v>
      </c>
    </row>
    <row r="256">
      <c r="A256" s="14" t="n">
        <v>276</v>
      </c>
      <c r="B256" s="15" t="n">
        <v>32.66478</v>
      </c>
      <c r="C256" s="15" t="n">
        <v>35.39644</v>
      </c>
      <c r="D256" s="14" t="inlineStr">
        <is>
          <t>65</t>
        </is>
      </c>
      <c r="E256" s="14" t="inlineStr">
        <is>
          <t>רגיל</t>
        </is>
      </c>
      <c r="F256" s="14" t="inlineStr">
        <is>
          <t>חיפה / כרמל</t>
        </is>
      </c>
      <c r="G256" s="14" t="n">
        <v>50</v>
      </c>
      <c r="H256" s="16" t="n">
        <v>250000</v>
      </c>
      <c r="I256" s="17" t="n">
        <v>24000</v>
      </c>
      <c r="J256" s="17" t="n">
        <v>2400</v>
      </c>
      <c r="K256" s="14" t="n">
        <v>80</v>
      </c>
      <c r="L256" s="14" t="n">
        <v>46.8</v>
      </c>
      <c r="M256" s="14" t="n">
        <v>232</v>
      </c>
    </row>
    <row r="257">
      <c r="A257" t="n">
        <v>277</v>
      </c>
      <c r="B257" s="12" t="n">
        <v>32.59074</v>
      </c>
      <c r="C257" s="12" t="n">
        <v>35.2921</v>
      </c>
      <c r="D257" t="inlineStr">
        <is>
          <t>60</t>
        </is>
      </c>
      <c r="E257" t="inlineStr">
        <is>
          <t>רגיל</t>
        </is>
      </c>
      <c r="F257" t="inlineStr">
        <is>
          <t>חיפה / כרמל</t>
        </is>
      </c>
      <c r="G257" t="n">
        <v>50</v>
      </c>
      <c r="H257" s="6" t="n">
        <v>250000</v>
      </c>
      <c r="I257" s="13" t="n">
        <v>16000</v>
      </c>
      <c r="J257" s="13" t="n">
        <v>1600</v>
      </c>
      <c r="K257" t="n">
        <v>80</v>
      </c>
      <c r="L257" t="n">
        <v>31.2</v>
      </c>
      <c r="M257" t="n">
        <v>232</v>
      </c>
    </row>
    <row r="258">
      <c r="A258" s="14" t="n">
        <v>278</v>
      </c>
      <c r="B258" s="15" t="n">
        <v>32.64101</v>
      </c>
      <c r="C258" s="15" t="n">
        <v>35.32434</v>
      </c>
      <c r="D258" s="14" t="inlineStr">
        <is>
          <t>כביש עוקף עפולה מזרח</t>
        </is>
      </c>
      <c r="E258" s="14" t="inlineStr">
        <is>
          <t>רגיל</t>
        </is>
      </c>
      <c r="F258" s="14" t="inlineStr">
        <is>
          <t>חיפה / כרמל</t>
        </is>
      </c>
      <c r="G258" s="14" t="n">
        <v>20</v>
      </c>
      <c r="H258" s="16" t="n">
        <v>150000</v>
      </c>
      <c r="I258" s="17" t="n">
        <v>8000</v>
      </c>
      <c r="J258" s="17" t="n">
        <v>800</v>
      </c>
      <c r="K258" s="14" t="n">
        <v>90</v>
      </c>
      <c r="L258" s="14" t="n">
        <v>15.6</v>
      </c>
      <c r="M258" s="14" t="n">
        <v>232</v>
      </c>
    </row>
    <row r="259">
      <c r="A259" t="n">
        <v>279</v>
      </c>
      <c r="B259" s="12" t="n">
        <v>32.56021</v>
      </c>
      <c r="C259" s="12" t="n">
        <v>35.35378</v>
      </c>
      <c r="D259" t="inlineStr">
        <is>
          <t>675</t>
        </is>
      </c>
      <c r="E259" t="inlineStr">
        <is>
          <t>רגיל</t>
        </is>
      </c>
      <c r="F259" t="inlineStr">
        <is>
          <t>חיפה / כרמל</t>
        </is>
      </c>
      <c r="G259" t="n">
        <v>20</v>
      </c>
      <c r="H259" s="6" t="n">
        <v>150000</v>
      </c>
      <c r="I259" s="13" t="n">
        <v>8000</v>
      </c>
      <c r="J259" s="13" t="n">
        <v>800</v>
      </c>
      <c r="K259" t="n">
        <v>80</v>
      </c>
      <c r="L259" t="n">
        <v>15.6</v>
      </c>
      <c r="M259" t="n">
        <v>232</v>
      </c>
    </row>
    <row r="260">
      <c r="A260" s="14" t="n">
        <v>280</v>
      </c>
      <c r="B260" s="15" t="n">
        <v>32.5798</v>
      </c>
      <c r="C260" s="15" t="n">
        <v>35.39895</v>
      </c>
      <c r="D260" s="14" t="inlineStr">
        <is>
          <t>716</t>
        </is>
      </c>
      <c r="E260" s="14" t="inlineStr">
        <is>
          <t>רגיל</t>
        </is>
      </c>
      <c r="F260" s="14" t="inlineStr">
        <is>
          <t>חיפה / כרמל</t>
        </is>
      </c>
      <c r="G260" s="14" t="n">
        <v>12</v>
      </c>
      <c r="H260" s="16" t="n">
        <v>100000</v>
      </c>
      <c r="I260" s="17" t="n">
        <v>4000</v>
      </c>
      <c r="J260" s="17" t="n">
        <v>400</v>
      </c>
      <c r="K260" s="14" t="n">
        <v>80</v>
      </c>
      <c r="L260" s="14" t="n">
        <v>7.8</v>
      </c>
      <c r="M260" s="14" t="n">
        <v>232</v>
      </c>
    </row>
    <row r="261">
      <c r="A261" t="n">
        <v>281</v>
      </c>
      <c r="B261" s="12" t="n">
        <v>32.63534</v>
      </c>
      <c r="C261" s="12" t="n">
        <v>35.39574</v>
      </c>
      <c r="D261" t="inlineStr">
        <is>
          <t>716</t>
        </is>
      </c>
      <c r="E261" t="inlineStr">
        <is>
          <t>רגיל</t>
        </is>
      </c>
      <c r="F261" t="inlineStr">
        <is>
          <t>חיפה / כרמל</t>
        </is>
      </c>
      <c r="G261" t="n">
        <v>20</v>
      </c>
      <c r="H261" s="6" t="n">
        <v>150000</v>
      </c>
      <c r="I261" s="13" t="n">
        <v>8000</v>
      </c>
      <c r="J261" s="13" t="n">
        <v>800</v>
      </c>
      <c r="K261" t="n">
        <v>80</v>
      </c>
      <c r="L261" t="n">
        <v>15.6</v>
      </c>
      <c r="M261" t="n">
        <v>232</v>
      </c>
    </row>
    <row r="262">
      <c r="A262" s="14" t="n">
        <v>282</v>
      </c>
      <c r="B262" s="15" t="n">
        <v>32.71608</v>
      </c>
      <c r="C262" s="15" t="n">
        <v>35.46579</v>
      </c>
      <c r="D262" s="14" t="inlineStr">
        <is>
          <t>דרך המושבות</t>
        </is>
      </c>
      <c r="E262" s="14" t="inlineStr">
        <is>
          <t>רגיל</t>
        </is>
      </c>
      <c r="F262" s="14" t="inlineStr">
        <is>
          <t>חיפה / כרמל</t>
        </is>
      </c>
      <c r="G262" s="14" t="n">
        <v>12</v>
      </c>
      <c r="H262" s="16" t="n">
        <v>100000</v>
      </c>
      <c r="I262" s="17" t="n">
        <v>4000</v>
      </c>
      <c r="J262" s="17" t="n">
        <v>400</v>
      </c>
      <c r="K262" s="14" t="n">
        <v>80</v>
      </c>
      <c r="L262" s="14" t="n">
        <v>7.8</v>
      </c>
      <c r="M262" s="14" t="n">
        <v>232</v>
      </c>
    </row>
    <row r="263">
      <c r="A263" t="n">
        <v>283</v>
      </c>
      <c r="B263" s="12" t="n">
        <v>31.12478</v>
      </c>
      <c r="C263" s="12" t="n">
        <v>35.01084</v>
      </c>
      <c r="D263" t="inlineStr">
        <is>
          <t>25</t>
        </is>
      </c>
      <c r="E263" t="inlineStr">
        <is>
          <t>רגיל</t>
        </is>
      </c>
      <c r="F263" t="inlineStr">
        <is>
          <t>נגב / ערבה</t>
        </is>
      </c>
      <c r="G263" t="n">
        <v>20</v>
      </c>
      <c r="H263" s="6" t="n">
        <v>150000</v>
      </c>
      <c r="I263" s="13" t="n">
        <v>7000</v>
      </c>
      <c r="J263" s="13" t="n">
        <v>700</v>
      </c>
      <c r="K263" t="n">
        <v>90</v>
      </c>
      <c r="L263" t="n">
        <v>13.7</v>
      </c>
      <c r="M263" t="n">
        <v>225</v>
      </c>
    </row>
    <row r="264">
      <c r="A264" s="14" t="n">
        <v>285</v>
      </c>
      <c r="B264" s="15" t="n">
        <v>32.55248</v>
      </c>
      <c r="C264" s="15" t="n">
        <v>35.0312</v>
      </c>
      <c r="D264" s="14" t="inlineStr">
        <is>
          <t>כביש חוצה ישראל</t>
        </is>
      </c>
      <c r="E264" s="14" t="inlineStr">
        <is>
          <t>רגיל</t>
        </is>
      </c>
      <c r="F264" s="14" t="inlineStr">
        <is>
          <t>חיפה / כרמל</t>
        </is>
      </c>
      <c r="G264" s="14" t="n">
        <v>20</v>
      </c>
      <c r="H264" s="16" t="n">
        <v>150000</v>
      </c>
      <c r="I264" s="17" t="n">
        <v>8000</v>
      </c>
      <c r="J264" s="17" t="n">
        <v>800</v>
      </c>
      <c r="K264" s="14" t="n">
        <v>110</v>
      </c>
      <c r="L264" s="14" t="n">
        <v>15.6</v>
      </c>
      <c r="M264" s="14" t="inlineStr"/>
    </row>
    <row r="265">
      <c r="A265" t="n">
        <v>286</v>
      </c>
      <c r="B265" s="12" t="n">
        <v>32.58001</v>
      </c>
      <c r="C265" s="12" t="n">
        <v>35.04577</v>
      </c>
      <c r="D265" t="inlineStr">
        <is>
          <t>כביש חוצה ישראל</t>
        </is>
      </c>
      <c r="E265" t="inlineStr">
        <is>
          <t>רגיל</t>
        </is>
      </c>
      <c r="F265" t="inlineStr">
        <is>
          <t>חיפה / כרמל</t>
        </is>
      </c>
      <c r="G265" t="n">
        <v>20</v>
      </c>
      <c r="H265" s="6" t="n">
        <v>150000</v>
      </c>
      <c r="I265" s="13" t="n">
        <v>8000</v>
      </c>
      <c r="J265" s="13" t="n">
        <v>800</v>
      </c>
      <c r="K265" t="n">
        <v>110</v>
      </c>
      <c r="L265" t="n">
        <v>15.6</v>
      </c>
      <c r="M265" t="inlineStr"/>
    </row>
    <row r="266">
      <c r="A266" s="14" t="n">
        <v>287</v>
      </c>
      <c r="B266" s="15" t="n">
        <v>32.61043</v>
      </c>
      <c r="C266" s="15" t="n">
        <v>34.92748</v>
      </c>
      <c r="D266" s="14" t="inlineStr">
        <is>
          <t>כביש החוף</t>
        </is>
      </c>
      <c r="E266" s="14" t="inlineStr">
        <is>
          <t>רגיל</t>
        </is>
      </c>
      <c r="F266" s="14" t="inlineStr">
        <is>
          <t>חיפה / כרמל</t>
        </is>
      </c>
      <c r="G266" s="14" t="n">
        <v>20</v>
      </c>
      <c r="H266" s="16" t="n">
        <v>150000</v>
      </c>
      <c r="I266" s="17" t="n">
        <v>8000</v>
      </c>
      <c r="J266" s="17" t="n">
        <v>800</v>
      </c>
      <c r="K266" s="14" t="n">
        <v>110</v>
      </c>
      <c r="L266" s="14" t="n">
        <v>15.6</v>
      </c>
      <c r="M266" s="14" t="inlineStr"/>
    </row>
    <row r="267">
      <c r="A267" t="n">
        <v>288</v>
      </c>
      <c r="B267" s="12" t="n">
        <v>32.58656</v>
      </c>
      <c r="C267" s="12" t="n">
        <v>34.92636</v>
      </c>
      <c r="D267" t="inlineStr">
        <is>
          <t>כביש החוף</t>
        </is>
      </c>
      <c r="E267" t="inlineStr">
        <is>
          <t>רגיל</t>
        </is>
      </c>
      <c r="F267" t="inlineStr">
        <is>
          <t>חיפה / כרמל</t>
        </is>
      </c>
      <c r="G267" t="n">
        <v>20</v>
      </c>
      <c r="H267" s="6" t="n">
        <v>150000</v>
      </c>
      <c r="I267" s="13" t="n">
        <v>8000</v>
      </c>
      <c r="J267" s="13" t="n">
        <v>800</v>
      </c>
      <c r="K267" t="n">
        <v>90</v>
      </c>
      <c r="L267" t="n">
        <v>15.6</v>
      </c>
      <c r="M267" t="inlineStr"/>
    </row>
    <row r="268">
      <c r="A268" s="14" t="n">
        <v>290</v>
      </c>
      <c r="B268" s="15" t="n">
        <v>32.74157</v>
      </c>
      <c r="C268" s="15" t="n">
        <v>35.56785</v>
      </c>
      <c r="D268" s="14" t="inlineStr">
        <is>
          <t>90</t>
        </is>
      </c>
      <c r="E268" s="14" t="inlineStr">
        <is>
          <t>רגיל</t>
        </is>
      </c>
      <c r="F268" s="14" t="inlineStr">
        <is>
          <t>חיפה / כרמל</t>
        </is>
      </c>
      <c r="G268" s="14" t="n">
        <v>20</v>
      </c>
      <c r="H268" s="16" t="n">
        <v>150000</v>
      </c>
      <c r="I268" s="17" t="n">
        <v>9000</v>
      </c>
      <c r="J268" s="17" t="n">
        <v>900</v>
      </c>
      <c r="K268" s="14" t="n">
        <v>80</v>
      </c>
      <c r="L268" s="14" t="n">
        <v>17.6</v>
      </c>
      <c r="M268" s="14" t="inlineStr"/>
    </row>
    <row r="269">
      <c r="A269" t="n">
        <v>291</v>
      </c>
      <c r="B269" s="12" t="n">
        <v>31.14138</v>
      </c>
      <c r="C269" s="12" t="n">
        <v>35.36025</v>
      </c>
      <c r="D269" t="inlineStr">
        <is>
          <t>90</t>
        </is>
      </c>
      <c r="E269" t="inlineStr">
        <is>
          <t>רגיל</t>
        </is>
      </c>
      <c r="F269" t="inlineStr">
        <is>
          <t>נגב / ערבה</t>
        </is>
      </c>
      <c r="G269" t="n">
        <v>20</v>
      </c>
      <c r="H269" s="6" t="n">
        <v>150000</v>
      </c>
      <c r="I269" s="13" t="n">
        <v>9000</v>
      </c>
      <c r="J269" s="13" t="n">
        <v>900</v>
      </c>
      <c r="K269" t="n">
        <v>60</v>
      </c>
      <c r="L269" t="n">
        <v>17.6</v>
      </c>
      <c r="M269" t="inlineStr"/>
    </row>
    <row r="270">
      <c r="A270" s="14" t="n">
        <v>292</v>
      </c>
      <c r="B270" s="15" t="n">
        <v>29.5441</v>
      </c>
      <c r="C270" s="15" t="n">
        <v>34.95027</v>
      </c>
      <c r="D270" s="14" t="inlineStr">
        <is>
          <t>90</t>
        </is>
      </c>
      <c r="E270" s="14" t="inlineStr">
        <is>
          <t>רגיל</t>
        </is>
      </c>
      <c r="F270" s="14" t="inlineStr">
        <is>
          <t>נגב / ערבה</t>
        </is>
      </c>
      <c r="G270" s="14" t="n">
        <v>20</v>
      </c>
      <c r="H270" s="16" t="n">
        <v>150000</v>
      </c>
      <c r="I270" s="17" t="n">
        <v>9000</v>
      </c>
      <c r="J270" s="17" t="n">
        <v>900</v>
      </c>
      <c r="K270" s="14" t="n">
        <v>70</v>
      </c>
      <c r="L270" s="14" t="n">
        <v>17.6</v>
      </c>
      <c r="M270" s="14" t="inlineStr"/>
    </row>
    <row r="271">
      <c r="A271" t="n">
        <v>293</v>
      </c>
      <c r="B271" s="12" t="n">
        <v>32.70484</v>
      </c>
      <c r="C271" s="12" t="n">
        <v>35.58641</v>
      </c>
      <c r="D271" t="inlineStr">
        <is>
          <t>90</t>
        </is>
      </c>
      <c r="E271" t="inlineStr">
        <is>
          <t>רגיל</t>
        </is>
      </c>
      <c r="F271" t="inlineStr">
        <is>
          <t>חיפה / כרמל</t>
        </is>
      </c>
      <c r="G271" t="n">
        <v>12</v>
      </c>
      <c r="H271" s="6" t="n">
        <v>100000</v>
      </c>
      <c r="I271" s="13" t="n">
        <v>4000</v>
      </c>
      <c r="J271" s="13" t="n">
        <v>400</v>
      </c>
      <c r="K271" t="n">
        <v>90</v>
      </c>
      <c r="L271" t="n">
        <v>7.8</v>
      </c>
      <c r="M271" t="inlineStr"/>
    </row>
    <row r="272">
      <c r="A272" s="14" t="n">
        <v>295</v>
      </c>
      <c r="B272" s="15" t="n">
        <v>32.67837</v>
      </c>
      <c r="C272" s="15" t="n">
        <v>35.5805</v>
      </c>
      <c r="D272" s="14" t="inlineStr">
        <is>
          <t>90</t>
        </is>
      </c>
      <c r="E272" s="14" t="inlineStr">
        <is>
          <t>רגיל</t>
        </is>
      </c>
      <c r="F272" s="14" t="inlineStr">
        <is>
          <t>חיפה / כרמל</t>
        </is>
      </c>
      <c r="G272" s="14" t="n">
        <v>20</v>
      </c>
      <c r="H272" s="16" t="n">
        <v>150000</v>
      </c>
      <c r="I272" s="17" t="n">
        <v>9000</v>
      </c>
      <c r="J272" s="17" t="n">
        <v>900</v>
      </c>
      <c r="K272" s="14" t="n">
        <v>80</v>
      </c>
      <c r="L272" s="14" t="n">
        <v>17.6</v>
      </c>
      <c r="M272" s="14" t="inlineStr"/>
    </row>
    <row r="273">
      <c r="A273" t="n">
        <v>296</v>
      </c>
      <c r="B273" s="12" t="n">
        <v>29.57788</v>
      </c>
      <c r="C273" s="12" t="n">
        <v>34.96757</v>
      </c>
      <c r="D273" t="inlineStr">
        <is>
          <t>הערבה</t>
        </is>
      </c>
      <c r="E273" t="inlineStr">
        <is>
          <t>רגיל</t>
        </is>
      </c>
      <c r="F273" t="inlineStr">
        <is>
          <t>נגב / ערבה</t>
        </is>
      </c>
      <c r="G273" t="n">
        <v>20</v>
      </c>
      <c r="H273" s="6" t="n">
        <v>150000</v>
      </c>
      <c r="I273" s="13" t="n">
        <v>8000</v>
      </c>
      <c r="J273" s="13" t="n">
        <v>800</v>
      </c>
      <c r="K273" t="n">
        <v>90</v>
      </c>
      <c r="L273" t="n">
        <v>15.6</v>
      </c>
      <c r="M273" t="inlineStr"/>
    </row>
    <row r="274">
      <c r="A274" s="14" t="n">
        <v>297</v>
      </c>
      <c r="B274" s="15" t="n">
        <v>29.60913</v>
      </c>
      <c r="C274" s="15" t="n">
        <v>34.98382</v>
      </c>
      <c r="D274" s="14" t="inlineStr">
        <is>
          <t>הערבה</t>
        </is>
      </c>
      <c r="E274" s="14" t="inlineStr">
        <is>
          <t>רגיל</t>
        </is>
      </c>
      <c r="F274" s="14" t="inlineStr">
        <is>
          <t>נגב / ערבה</t>
        </is>
      </c>
      <c r="G274" s="14" t="n">
        <v>20</v>
      </c>
      <c r="H274" s="16" t="n">
        <v>150000</v>
      </c>
      <c r="I274" s="17" t="n">
        <v>8000</v>
      </c>
      <c r="J274" s="17" t="n">
        <v>800</v>
      </c>
      <c r="K274" s="14" t="n">
        <v>30</v>
      </c>
      <c r="L274" s="14" t="n">
        <v>15.6</v>
      </c>
      <c r="M274" s="14" t="inlineStr"/>
    </row>
    <row r="275">
      <c r="A275" t="n">
        <v>300</v>
      </c>
      <c r="B275" s="12" t="n">
        <v>29.76344</v>
      </c>
      <c r="C275" s="12" t="n">
        <v>35.01411</v>
      </c>
      <c r="D275" t="inlineStr">
        <is>
          <t>הערבה</t>
        </is>
      </c>
      <c r="E275" t="inlineStr">
        <is>
          <t>רגיל</t>
        </is>
      </c>
      <c r="F275" t="inlineStr">
        <is>
          <t>נגב / ערבה</t>
        </is>
      </c>
      <c r="G275" t="n">
        <v>20</v>
      </c>
      <c r="H275" s="6" t="n">
        <v>150000</v>
      </c>
      <c r="I275" s="13" t="n">
        <v>8000</v>
      </c>
      <c r="J275" s="13" t="n">
        <v>800</v>
      </c>
      <c r="K275" t="n">
        <v>90</v>
      </c>
      <c r="L275" t="n">
        <v>15.6</v>
      </c>
      <c r="M275" t="inlineStr"/>
    </row>
    <row r="276">
      <c r="A276" s="14" t="n">
        <v>303</v>
      </c>
      <c r="B276" s="15" t="n">
        <v>30.28384</v>
      </c>
      <c r="C276" s="15" t="n">
        <v>34.99975</v>
      </c>
      <c r="D276" s="14" t="inlineStr">
        <is>
          <t>40</t>
        </is>
      </c>
      <c r="E276" s="14" t="inlineStr">
        <is>
          <t>רגיל</t>
        </is>
      </c>
      <c r="F276" s="14" t="inlineStr">
        <is>
          <t>נגב / ערבה</t>
        </is>
      </c>
      <c r="G276" s="14" t="n">
        <v>50</v>
      </c>
      <c r="H276" s="16" t="n">
        <v>250000</v>
      </c>
      <c r="I276" s="17" t="n">
        <v>22000</v>
      </c>
      <c r="J276" s="17" t="n">
        <v>2200</v>
      </c>
      <c r="K276" s="14" t="n">
        <v>80</v>
      </c>
      <c r="L276" s="14" t="n">
        <v>42.9</v>
      </c>
      <c r="M276" s="14" t="inlineStr"/>
    </row>
    <row r="277">
      <c r="A277" t="n">
        <v>304</v>
      </c>
      <c r="B277" s="12" t="n">
        <v>30.81704</v>
      </c>
      <c r="C277" s="12" t="n">
        <v>34.75609</v>
      </c>
      <c r="D277" t="inlineStr">
        <is>
          <t>40</t>
        </is>
      </c>
      <c r="E277" t="inlineStr">
        <is>
          <t>עוטף עזה</t>
        </is>
      </c>
      <c r="F277" t="inlineStr">
        <is>
          <t>עוטף עזה / הנגב המערבי</t>
        </is>
      </c>
      <c r="G277" t="n">
        <v>50</v>
      </c>
      <c r="H277" s="6" t="n">
        <v>250000</v>
      </c>
      <c r="I277" s="13" t="n">
        <v>22000</v>
      </c>
      <c r="J277" s="13" t="n">
        <v>2200</v>
      </c>
      <c r="K277" t="n">
        <v>90</v>
      </c>
      <c r="L277" t="n">
        <v>42.9</v>
      </c>
      <c r="M277" t="inlineStr"/>
    </row>
    <row r="278">
      <c r="A278" s="14" t="n">
        <v>305</v>
      </c>
      <c r="B278" s="15" t="n">
        <v>30.78002</v>
      </c>
      <c r="C278" s="15" t="n">
        <v>34.76921</v>
      </c>
      <c r="D278" s="14" t="inlineStr">
        <is>
          <t>40</t>
        </is>
      </c>
      <c r="E278" s="14" t="inlineStr">
        <is>
          <t>עוטף עזה</t>
        </is>
      </c>
      <c r="F278" s="14" t="inlineStr">
        <is>
          <t>עוטף עזה / הנגב המערבי</t>
        </is>
      </c>
      <c r="G278" s="14" t="n">
        <v>50</v>
      </c>
      <c r="H278" s="16" t="n">
        <v>250000</v>
      </c>
      <c r="I278" s="17" t="n">
        <v>22000</v>
      </c>
      <c r="J278" s="17" t="n">
        <v>2200</v>
      </c>
      <c r="K278" s="14" t="n">
        <v>90</v>
      </c>
      <c r="L278" s="14" t="n">
        <v>42.9</v>
      </c>
      <c r="M278" s="14" t="inlineStr"/>
    </row>
    <row r="279">
      <c r="A279" t="n">
        <v>310</v>
      </c>
      <c r="B279" s="12" t="n">
        <v>30.04781</v>
      </c>
      <c r="C279" s="12" t="n">
        <v>35.01047</v>
      </c>
      <c r="D279" t="inlineStr">
        <is>
          <t>12</t>
        </is>
      </c>
      <c r="E279" t="inlineStr">
        <is>
          <t>רגיל</t>
        </is>
      </c>
      <c r="F279" t="inlineStr">
        <is>
          <t>נגב / ערבה</t>
        </is>
      </c>
      <c r="G279" t="n">
        <v>20</v>
      </c>
      <c r="H279" s="6" t="n">
        <v>150000</v>
      </c>
      <c r="I279" s="13" t="n">
        <v>8000</v>
      </c>
      <c r="J279" s="13" t="n">
        <v>800</v>
      </c>
      <c r="K279" t="n">
        <v>80</v>
      </c>
      <c r="L279" t="n">
        <v>15.6</v>
      </c>
      <c r="M279" t="inlineStr"/>
    </row>
    <row r="280">
      <c r="A280" s="14" t="n">
        <v>311</v>
      </c>
      <c r="B280" s="15" t="n">
        <v>31.05359</v>
      </c>
      <c r="C280" s="15" t="n">
        <v>35.03088</v>
      </c>
      <c r="D280" s="14" t="inlineStr">
        <is>
          <t>25</t>
        </is>
      </c>
      <c r="E280" s="14" t="inlineStr">
        <is>
          <t>רגיל</t>
        </is>
      </c>
      <c r="F280" s="14" t="inlineStr">
        <is>
          <t>נגב / ערבה</t>
        </is>
      </c>
      <c r="G280" s="14" t="n">
        <v>20</v>
      </c>
      <c r="H280" s="16" t="n">
        <v>150000</v>
      </c>
      <c r="I280" s="17" t="n">
        <v>7000</v>
      </c>
      <c r="J280" s="17" t="n">
        <v>700</v>
      </c>
      <c r="K280" s="14" t="n">
        <v>90</v>
      </c>
      <c r="L280" s="14" t="n">
        <v>13.7</v>
      </c>
      <c r="M280" s="14" t="inlineStr"/>
    </row>
    <row r="281">
      <c r="A281" t="n">
        <v>312</v>
      </c>
      <c r="B281" s="12" t="n">
        <v>31.06829</v>
      </c>
      <c r="C281" s="12" t="n">
        <v>35.00661</v>
      </c>
      <c r="D281" t="inlineStr">
        <is>
          <t>25</t>
        </is>
      </c>
      <c r="E281" t="inlineStr">
        <is>
          <t>רגיל</t>
        </is>
      </c>
      <c r="F281" t="inlineStr">
        <is>
          <t>נגב / ערבה</t>
        </is>
      </c>
      <c r="G281" t="n">
        <v>12</v>
      </c>
      <c r="H281" s="6" t="n">
        <v>100000</v>
      </c>
      <c r="I281" s="13" t="n">
        <v>4000</v>
      </c>
      <c r="J281" s="13" t="n">
        <v>400</v>
      </c>
      <c r="K281" t="n">
        <v>90</v>
      </c>
      <c r="L281" t="n">
        <v>7.8</v>
      </c>
      <c r="M281" t="inlineStr"/>
    </row>
    <row r="282">
      <c r="A282" s="14" t="n">
        <v>317</v>
      </c>
      <c r="B282" s="15" t="n">
        <v>29.83364</v>
      </c>
      <c r="C282" s="15" t="n">
        <v>35.02882</v>
      </c>
      <c r="D282" s="14" t="inlineStr">
        <is>
          <t>הערבה</t>
        </is>
      </c>
      <c r="E282" s="14" t="inlineStr">
        <is>
          <t>רגיל</t>
        </is>
      </c>
      <c r="F282" s="14" t="inlineStr">
        <is>
          <t>נגב / ערבה</t>
        </is>
      </c>
      <c r="G282" s="14" t="n">
        <v>20</v>
      </c>
      <c r="H282" s="16" t="n">
        <v>150000</v>
      </c>
      <c r="I282" s="17" t="n">
        <v>8000</v>
      </c>
      <c r="J282" s="17" t="n">
        <v>800</v>
      </c>
      <c r="K282" s="14" t="n">
        <v>90</v>
      </c>
      <c r="L282" s="14" t="n">
        <v>15.6</v>
      </c>
      <c r="M282" s="14" t="inlineStr"/>
    </row>
    <row r="283">
      <c r="A283" t="n">
        <v>318</v>
      </c>
      <c r="B283" s="12" t="n">
        <v>29.63183</v>
      </c>
      <c r="C283" s="12" t="n">
        <v>34.88065</v>
      </c>
      <c r="D283" t="inlineStr">
        <is>
          <t>כביש הגבול המערבי</t>
        </is>
      </c>
      <c r="E283" t="inlineStr">
        <is>
          <t>עוטף עזה</t>
        </is>
      </c>
      <c r="F283" t="inlineStr">
        <is>
          <t>עוטף עזה / הנגב המערבי</t>
        </is>
      </c>
      <c r="G283" t="n">
        <v>20</v>
      </c>
      <c r="H283" s="6" t="n">
        <v>150000</v>
      </c>
      <c r="I283" s="13" t="n">
        <v>8000</v>
      </c>
      <c r="J283" s="13" t="n">
        <v>800</v>
      </c>
      <c r="K283" t="n">
        <v>80</v>
      </c>
      <c r="L283" t="n">
        <v>15.6</v>
      </c>
      <c r="M283" t="inlineStr"/>
    </row>
    <row r="284">
      <c r="A284" s="14" t="n">
        <v>319</v>
      </c>
      <c r="B284" s="15" t="n">
        <v>29.77754</v>
      </c>
      <c r="C284" s="15" t="n">
        <v>35.05858</v>
      </c>
      <c r="D284" s="14" t="inlineStr">
        <is>
          <t>Jordan Valley Highway</t>
        </is>
      </c>
      <c r="E284" s="14" t="inlineStr">
        <is>
          <t>רגיל</t>
        </is>
      </c>
      <c r="F284" s="14" t="inlineStr">
        <is>
          <t>נגב / ערבה</t>
        </is>
      </c>
      <c r="G284" s="14" t="n">
        <v>50</v>
      </c>
      <c r="H284" s="16" t="n">
        <v>250000</v>
      </c>
      <c r="I284" s="17" t="n">
        <v>24000</v>
      </c>
      <c r="J284" s="17" t="n">
        <v>2400</v>
      </c>
      <c r="K284" s="14" t="n">
        <v>100</v>
      </c>
      <c r="L284" s="14" t="n">
        <v>46.8</v>
      </c>
      <c r="M284" s="14" t="inlineStr"/>
    </row>
    <row r="285">
      <c r="A285" t="n">
        <v>320</v>
      </c>
      <c r="B285" s="12" t="n">
        <v>30.13754</v>
      </c>
      <c r="C285" s="12" t="n">
        <v>35.138</v>
      </c>
      <c r="D285" t="inlineStr">
        <is>
          <t>הערבה</t>
        </is>
      </c>
      <c r="E285" t="inlineStr">
        <is>
          <t>רגיל</t>
        </is>
      </c>
      <c r="F285" t="inlineStr">
        <is>
          <t>נגב / ערבה</t>
        </is>
      </c>
      <c r="G285" t="n">
        <v>20</v>
      </c>
      <c r="H285" s="6" t="n">
        <v>150000</v>
      </c>
      <c r="I285" s="13" t="n">
        <v>8000</v>
      </c>
      <c r="J285" s="13" t="n">
        <v>800</v>
      </c>
      <c r="K285" t="n">
        <v>90</v>
      </c>
      <c r="L285" t="n">
        <v>15.6</v>
      </c>
      <c r="M285" t="inlineStr"/>
    </row>
    <row r="286">
      <c r="A286" s="14" t="n">
        <v>322</v>
      </c>
      <c r="B286" s="15" t="n">
        <v>29.84431</v>
      </c>
      <c r="C286" s="15" t="n">
        <v>34.83819</v>
      </c>
      <c r="D286" s="14" t="inlineStr">
        <is>
          <t>12</t>
        </is>
      </c>
      <c r="E286" s="14" t="inlineStr">
        <is>
          <t>עוטף עזה</t>
        </is>
      </c>
      <c r="F286" s="14" t="inlineStr">
        <is>
          <t>עוטף עזה / הנגב המערבי</t>
        </is>
      </c>
      <c r="G286" s="14" t="n">
        <v>20</v>
      </c>
      <c r="H286" s="16" t="n">
        <v>150000</v>
      </c>
      <c r="I286" s="17" t="n">
        <v>8000</v>
      </c>
      <c r="J286" s="17" t="n">
        <v>800</v>
      </c>
      <c r="K286" s="14" t="n">
        <v>80</v>
      </c>
      <c r="L286" s="14" t="n">
        <v>15.6</v>
      </c>
      <c r="M286" s="14" t="inlineStr"/>
    </row>
    <row r="287">
      <c r="A287" t="n">
        <v>324</v>
      </c>
      <c r="B287" s="12" t="n">
        <v>30.48576</v>
      </c>
      <c r="C287" s="12" t="n">
        <v>34.93315</v>
      </c>
      <c r="D287" t="inlineStr">
        <is>
          <t>40</t>
        </is>
      </c>
      <c r="E287" t="inlineStr">
        <is>
          <t>רגיל</t>
        </is>
      </c>
      <c r="F287" t="inlineStr">
        <is>
          <t>נגב / ערבה</t>
        </is>
      </c>
      <c r="G287" t="n">
        <v>50</v>
      </c>
      <c r="H287" s="6" t="n">
        <v>250000</v>
      </c>
      <c r="I287" s="13" t="n">
        <v>22000</v>
      </c>
      <c r="J287" s="13" t="n">
        <v>2200</v>
      </c>
      <c r="K287" t="n">
        <v>80</v>
      </c>
      <c r="L287" t="n">
        <v>42.9</v>
      </c>
      <c r="M287" t="inlineStr"/>
    </row>
    <row r="288">
      <c r="A288" s="14" t="n">
        <v>330</v>
      </c>
      <c r="B288" s="15" t="n">
        <v>29.94978</v>
      </c>
      <c r="C288" s="15" t="n">
        <v>34.91844</v>
      </c>
      <c r="D288" s="14" t="inlineStr">
        <is>
          <t>12</t>
        </is>
      </c>
      <c r="E288" s="14" t="inlineStr">
        <is>
          <t>רגיל</t>
        </is>
      </c>
      <c r="F288" s="14" t="inlineStr">
        <is>
          <t>נגב / ערבה</t>
        </is>
      </c>
      <c r="G288" s="14" t="n">
        <v>20</v>
      </c>
      <c r="H288" s="16" t="n">
        <v>150000</v>
      </c>
      <c r="I288" s="17" t="n">
        <v>8000</v>
      </c>
      <c r="J288" s="17" t="n">
        <v>800</v>
      </c>
      <c r="K288" s="14" t="n">
        <v>80</v>
      </c>
      <c r="L288" s="14" t="n">
        <v>15.6</v>
      </c>
      <c r="M288" s="14" t="inlineStr"/>
    </row>
    <row r="289">
      <c r="A289" t="n">
        <v>331</v>
      </c>
      <c r="B289" s="12" t="n">
        <v>29.96941</v>
      </c>
      <c r="C289" s="12" t="n">
        <v>35.06507</v>
      </c>
      <c r="D289" t="inlineStr">
        <is>
          <t>הערבה</t>
        </is>
      </c>
      <c r="E289" t="inlineStr">
        <is>
          <t>רגיל</t>
        </is>
      </c>
      <c r="F289" t="inlineStr">
        <is>
          <t>נגב / ערבה</t>
        </is>
      </c>
      <c r="G289" t="n">
        <v>20</v>
      </c>
      <c r="H289" s="6" t="n">
        <v>150000</v>
      </c>
      <c r="I289" s="13" t="n">
        <v>8000</v>
      </c>
      <c r="J289" s="13" t="n">
        <v>800</v>
      </c>
      <c r="K289" t="n">
        <v>70</v>
      </c>
      <c r="L289" t="n">
        <v>15.6</v>
      </c>
      <c r="M289" t="inlineStr"/>
    </row>
    <row r="290">
      <c r="A290" s="14" t="n">
        <v>333</v>
      </c>
      <c r="B290" s="15" t="n">
        <v>30.26971</v>
      </c>
      <c r="C290" s="15" t="n">
        <v>35.13539</v>
      </c>
      <c r="D290" s="14" t="inlineStr">
        <is>
          <t>הערבה</t>
        </is>
      </c>
      <c r="E290" s="14" t="inlineStr">
        <is>
          <t>רגיל</t>
        </is>
      </c>
      <c r="F290" s="14" t="inlineStr">
        <is>
          <t>נגב / ערבה</t>
        </is>
      </c>
      <c r="G290" s="14" t="n">
        <v>20</v>
      </c>
      <c r="H290" s="16" t="n">
        <v>150000</v>
      </c>
      <c r="I290" s="17" t="n">
        <v>8000</v>
      </c>
      <c r="J290" s="17" t="n">
        <v>800</v>
      </c>
      <c r="K290" s="14" t="n">
        <v>90</v>
      </c>
      <c r="L290" s="14" t="n">
        <v>15.6</v>
      </c>
      <c r="M290" s="14" t="inlineStr"/>
    </row>
    <row r="291">
      <c r="A291" t="n">
        <v>334</v>
      </c>
      <c r="B291" s="12" t="n">
        <v>29.73907</v>
      </c>
      <c r="C291" s="12" t="n">
        <v>34.85312</v>
      </c>
      <c r="D291" t="inlineStr">
        <is>
          <t>כביש הגבול המערבי</t>
        </is>
      </c>
      <c r="E291" t="inlineStr">
        <is>
          <t>עוטף עזה</t>
        </is>
      </c>
      <c r="F291" t="inlineStr">
        <is>
          <t>עוטף עזה / הנגב המערבי</t>
        </is>
      </c>
      <c r="G291" t="n">
        <v>20</v>
      </c>
      <c r="H291" s="6" t="n">
        <v>150000</v>
      </c>
      <c r="I291" s="13" t="n">
        <v>8000</v>
      </c>
      <c r="J291" s="13" t="n">
        <v>800</v>
      </c>
      <c r="K291" t="n">
        <v>80</v>
      </c>
      <c r="L291" t="n">
        <v>15.6</v>
      </c>
      <c r="M291" t="inlineStr"/>
    </row>
    <row r="292">
      <c r="A292" s="14" t="n">
        <v>335</v>
      </c>
      <c r="B292" s="15" t="n">
        <v>31.03923</v>
      </c>
      <c r="C292" s="15" t="n">
        <v>35.16624</v>
      </c>
      <c r="D292" s="14" t="inlineStr">
        <is>
          <t>25</t>
        </is>
      </c>
      <c r="E292" s="14" t="inlineStr">
        <is>
          <t>רגיל</t>
        </is>
      </c>
      <c r="F292" s="14" t="inlineStr">
        <is>
          <t>נגב / ערבה</t>
        </is>
      </c>
      <c r="G292" s="14" t="n">
        <v>20</v>
      </c>
      <c r="H292" s="16" t="n">
        <v>150000</v>
      </c>
      <c r="I292" s="17" t="n">
        <v>7000</v>
      </c>
      <c r="J292" s="17" t="n">
        <v>700</v>
      </c>
      <c r="K292" s="14" t="n">
        <v>90</v>
      </c>
      <c r="L292" s="14" t="n">
        <v>13.7</v>
      </c>
      <c r="M292" s="14" t="inlineStr"/>
    </row>
    <row r="293">
      <c r="A293" t="n">
        <v>336</v>
      </c>
      <c r="B293" s="12" t="n">
        <v>29.70652</v>
      </c>
      <c r="C293" s="12" t="n">
        <v>34.99732</v>
      </c>
      <c r="D293" t="inlineStr">
        <is>
          <t>הערבה</t>
        </is>
      </c>
      <c r="E293" t="inlineStr">
        <is>
          <t>רגיל</t>
        </is>
      </c>
      <c r="F293" t="inlineStr">
        <is>
          <t>נגב / ערבה</t>
        </is>
      </c>
      <c r="G293" t="n">
        <v>20</v>
      </c>
      <c r="H293" s="6" t="n">
        <v>150000</v>
      </c>
      <c r="I293" s="13" t="n">
        <v>8000</v>
      </c>
      <c r="J293" s="13" t="n">
        <v>800</v>
      </c>
      <c r="K293" t="n">
        <v>90</v>
      </c>
      <c r="L293" t="n">
        <v>15.6</v>
      </c>
      <c r="M293" t="inlineStr"/>
    </row>
    <row r="294">
      <c r="A294" s="14" t="n">
        <v>337</v>
      </c>
      <c r="B294" s="15" t="n">
        <v>30.37038</v>
      </c>
      <c r="C294" s="15" t="n">
        <v>34.96243</v>
      </c>
      <c r="D294" s="14" t="inlineStr">
        <is>
          <t>40</t>
        </is>
      </c>
      <c r="E294" s="14" t="inlineStr">
        <is>
          <t>רגיל</t>
        </is>
      </c>
      <c r="F294" s="14" t="inlineStr">
        <is>
          <t>נגב / ערבה</t>
        </is>
      </c>
      <c r="G294" s="14" t="n">
        <v>50</v>
      </c>
      <c r="H294" s="16" t="n">
        <v>250000</v>
      </c>
      <c r="I294" s="17" t="n">
        <v>22000</v>
      </c>
      <c r="J294" s="17" t="n">
        <v>2200</v>
      </c>
      <c r="K294" s="14" t="n">
        <v>90</v>
      </c>
      <c r="L294" s="14" t="n">
        <v>42.9</v>
      </c>
      <c r="M294" s="14" t="inlineStr"/>
    </row>
    <row r="295">
      <c r="A295" t="n">
        <v>338</v>
      </c>
      <c r="B295" s="12" t="n">
        <v>30.16144</v>
      </c>
      <c r="C295" s="12" t="n">
        <v>35.01743</v>
      </c>
      <c r="D295" t="inlineStr">
        <is>
          <t>40</t>
        </is>
      </c>
      <c r="E295" t="inlineStr">
        <is>
          <t>רגיל</t>
        </is>
      </c>
      <c r="F295" t="inlineStr">
        <is>
          <t>נגב / ערבה</t>
        </is>
      </c>
      <c r="G295" t="n">
        <v>50</v>
      </c>
      <c r="H295" s="6" t="n">
        <v>250000</v>
      </c>
      <c r="I295" s="13" t="n">
        <v>22000</v>
      </c>
      <c r="J295" s="13" t="n">
        <v>2200</v>
      </c>
      <c r="K295" t="n">
        <v>90</v>
      </c>
      <c r="L295" t="n">
        <v>42.9</v>
      </c>
      <c r="M295" t="inlineStr"/>
    </row>
    <row r="296">
      <c r="A296" s="14" t="n">
        <v>343</v>
      </c>
      <c r="B296" s="15" t="n">
        <v>31.07234</v>
      </c>
      <c r="C296" s="15" t="n">
        <v>35.3971</v>
      </c>
      <c r="D296" s="14" t="inlineStr">
        <is>
          <t>90</t>
        </is>
      </c>
      <c r="E296" s="14" t="inlineStr">
        <is>
          <t>רגיל</t>
        </is>
      </c>
      <c r="F296" s="14" t="inlineStr">
        <is>
          <t>נגב / ערבה</t>
        </is>
      </c>
      <c r="G296" s="14" t="n">
        <v>20</v>
      </c>
      <c r="H296" s="16" t="n">
        <v>150000</v>
      </c>
      <c r="I296" s="17" t="n">
        <v>9000</v>
      </c>
      <c r="J296" s="17" t="n">
        <v>900</v>
      </c>
      <c r="K296" s="14" t="n">
        <v>80</v>
      </c>
      <c r="L296" s="14" t="n">
        <v>17.6</v>
      </c>
      <c r="M296" s="14" t="inlineStr"/>
    </row>
    <row r="297">
      <c r="A297" t="n">
        <v>345</v>
      </c>
      <c r="B297" s="12" t="n">
        <v>29.89666</v>
      </c>
      <c r="C297" s="12" t="n">
        <v>35.06371</v>
      </c>
      <c r="D297" t="inlineStr">
        <is>
          <t>הערבה</t>
        </is>
      </c>
      <c r="E297" t="inlineStr">
        <is>
          <t>רגיל</t>
        </is>
      </c>
      <c r="F297" t="inlineStr">
        <is>
          <t>נגב / ערבה</t>
        </is>
      </c>
      <c r="G297" t="n">
        <v>20</v>
      </c>
      <c r="H297" s="6" t="n">
        <v>150000</v>
      </c>
      <c r="I297" s="13" t="n">
        <v>8000</v>
      </c>
      <c r="J297" s="13" t="n">
        <v>800</v>
      </c>
      <c r="K297" t="n">
        <v>90</v>
      </c>
      <c r="L297" t="n">
        <v>15.6</v>
      </c>
      <c r="M297" t="inlineStr"/>
    </row>
    <row r="298">
      <c r="A298" s="14" t="n">
        <v>346</v>
      </c>
      <c r="B298" s="15" t="n">
        <v>30.05335</v>
      </c>
      <c r="C298" s="15" t="n">
        <v>35.11309</v>
      </c>
      <c r="D298" s="14" t="inlineStr">
        <is>
          <t>הערבה</t>
        </is>
      </c>
      <c r="E298" s="14" t="inlineStr">
        <is>
          <t>רגיל</t>
        </is>
      </c>
      <c r="F298" s="14" t="inlineStr">
        <is>
          <t>נגב / ערבה</t>
        </is>
      </c>
      <c r="G298" s="14" t="n">
        <v>20</v>
      </c>
      <c r="H298" s="16" t="n">
        <v>150000</v>
      </c>
      <c r="I298" s="17" t="n">
        <v>8000</v>
      </c>
      <c r="J298" s="17" t="n">
        <v>800</v>
      </c>
      <c r="K298" s="14" t="n">
        <v>90</v>
      </c>
      <c r="L298" s="14" t="n">
        <v>15.6</v>
      </c>
      <c r="M298" s="14" t="inlineStr"/>
    </row>
    <row r="299">
      <c r="A299" t="n">
        <v>347</v>
      </c>
      <c r="B299" s="12" t="n">
        <v>30.87527</v>
      </c>
      <c r="C299" s="12" t="n">
        <v>34.78662</v>
      </c>
      <c r="D299" t="inlineStr">
        <is>
          <t>40</t>
        </is>
      </c>
      <c r="E299" t="inlineStr">
        <is>
          <t>עוטף עזה</t>
        </is>
      </c>
      <c r="F299" t="inlineStr">
        <is>
          <t>עוטף עזה / הנגב המערבי</t>
        </is>
      </c>
      <c r="G299" t="n">
        <v>50</v>
      </c>
      <c r="H299" s="6" t="n">
        <v>250000</v>
      </c>
      <c r="I299" s="13" t="n">
        <v>22000</v>
      </c>
      <c r="J299" s="13" t="n">
        <v>2200</v>
      </c>
      <c r="K299" t="n">
        <v>90</v>
      </c>
      <c r="L299" t="n">
        <v>42.9</v>
      </c>
      <c r="M299" t="inlineStr"/>
    </row>
    <row r="300">
      <c r="A300" s="14" t="n">
        <v>350</v>
      </c>
      <c r="B300" s="15" t="n">
        <v>32.5894</v>
      </c>
      <c r="C300" s="15" t="n">
        <v>34.98374</v>
      </c>
      <c r="D300" s="14" t="inlineStr">
        <is>
          <t>ואדי מילק</t>
        </is>
      </c>
      <c r="E300" s="14" t="inlineStr">
        <is>
          <t>רגיל</t>
        </is>
      </c>
      <c r="F300" s="14" t="inlineStr">
        <is>
          <t>חיפה / כרמל</t>
        </is>
      </c>
      <c r="G300" s="14" t="n">
        <v>20</v>
      </c>
      <c r="H300" s="16" t="n">
        <v>150000</v>
      </c>
      <c r="I300" s="17" t="n">
        <v>8000</v>
      </c>
      <c r="J300" s="17" t="n">
        <v>800</v>
      </c>
      <c r="K300" s="14" t="n">
        <v>100</v>
      </c>
      <c r="L300" s="14" t="n">
        <v>15.6</v>
      </c>
      <c r="M300" s="14" t="inlineStr"/>
    </row>
    <row r="301">
      <c r="A301" t="n">
        <v>357</v>
      </c>
      <c r="B301" s="12" t="n">
        <v>29.90423</v>
      </c>
      <c r="C301" s="12" t="n">
        <v>34.86291</v>
      </c>
      <c r="D301" t="inlineStr">
        <is>
          <t>12</t>
        </is>
      </c>
      <c r="E301" t="inlineStr">
        <is>
          <t>עוטף עזה</t>
        </is>
      </c>
      <c r="F301" t="inlineStr">
        <is>
          <t>עוטף עזה / הנגב המערבי</t>
        </is>
      </c>
      <c r="G301" t="n">
        <v>20</v>
      </c>
      <c r="H301" s="6" t="n">
        <v>150000</v>
      </c>
      <c r="I301" s="13" t="n">
        <v>8000</v>
      </c>
      <c r="J301" s="13" t="n">
        <v>800</v>
      </c>
      <c r="K301" t="n">
        <v>80</v>
      </c>
      <c r="L301" t="n">
        <v>15.6</v>
      </c>
      <c r="M301" t="inlineStr"/>
    </row>
    <row r="302">
      <c r="A302" s="14" t="n">
        <v>358</v>
      </c>
      <c r="B302" s="15" t="n">
        <v>30.00362</v>
      </c>
      <c r="C302" s="15" t="n">
        <v>34.9552</v>
      </c>
      <c r="D302" s="14" t="inlineStr">
        <is>
          <t>12</t>
        </is>
      </c>
      <c r="E302" s="14" t="inlineStr">
        <is>
          <t>רגיל</t>
        </is>
      </c>
      <c r="F302" s="14" t="inlineStr">
        <is>
          <t>נגב / ערבה</t>
        </is>
      </c>
      <c r="G302" s="14" t="n">
        <v>20</v>
      </c>
      <c r="H302" s="16" t="n">
        <v>150000</v>
      </c>
      <c r="I302" s="17" t="n">
        <v>8000</v>
      </c>
      <c r="J302" s="17" t="n">
        <v>800</v>
      </c>
      <c r="K302" s="14" t="n">
        <v>80</v>
      </c>
      <c r="L302" s="14" t="n">
        <v>15.6</v>
      </c>
      <c r="M302" s="14" t="inlineStr"/>
    </row>
    <row r="303">
      <c r="A303" t="n">
        <v>361</v>
      </c>
      <c r="B303" s="12" t="n">
        <v>29.65814</v>
      </c>
      <c r="C303" s="12" t="n">
        <v>34.99038</v>
      </c>
      <c r="D303" t="inlineStr">
        <is>
          <t>הערבה</t>
        </is>
      </c>
      <c r="E303" t="inlineStr">
        <is>
          <t>רגיל</t>
        </is>
      </c>
      <c r="F303" t="inlineStr">
        <is>
          <t>נגב / ערבה</t>
        </is>
      </c>
      <c r="G303" t="n">
        <v>20</v>
      </c>
      <c r="H303" s="6" t="n">
        <v>150000</v>
      </c>
      <c r="I303" s="13" t="n">
        <v>8000</v>
      </c>
      <c r="J303" s="13" t="n">
        <v>800</v>
      </c>
      <c r="K303" t="n">
        <v>90</v>
      </c>
      <c r="L303" t="n">
        <v>15.6</v>
      </c>
      <c r="M303" t="inlineStr"/>
    </row>
    <row r="304">
      <c r="A304" s="14" t="n">
        <v>363</v>
      </c>
      <c r="B304" s="15" t="n">
        <v>30.20251</v>
      </c>
      <c r="C304" s="15" t="n">
        <v>35.13549</v>
      </c>
      <c r="D304" s="14" t="inlineStr">
        <is>
          <t>הערבה</t>
        </is>
      </c>
      <c r="E304" s="14" t="inlineStr">
        <is>
          <t>רגיל</t>
        </is>
      </c>
      <c r="F304" s="14" t="inlineStr">
        <is>
          <t>נגב / ערבה</t>
        </is>
      </c>
      <c r="G304" s="14" t="n">
        <v>20</v>
      </c>
      <c r="H304" s="16" t="n">
        <v>150000</v>
      </c>
      <c r="I304" s="17" t="n">
        <v>8000</v>
      </c>
      <c r="J304" s="17" t="n">
        <v>800</v>
      </c>
      <c r="K304" s="14" t="n">
        <v>90</v>
      </c>
      <c r="L304" s="14" t="n">
        <v>15.6</v>
      </c>
      <c r="M304" s="14" t="inlineStr"/>
    </row>
    <row r="305">
      <c r="A305" t="n">
        <v>365</v>
      </c>
      <c r="B305" s="12" t="n">
        <v>29.72945</v>
      </c>
      <c r="C305" s="12" t="n">
        <v>35.03561</v>
      </c>
      <c r="D305" t="inlineStr">
        <is>
          <t>Jordan Valley Highway</t>
        </is>
      </c>
      <c r="E305" t="inlineStr">
        <is>
          <t>רגיל</t>
        </is>
      </c>
      <c r="F305" t="inlineStr">
        <is>
          <t>נגב / ערבה</t>
        </is>
      </c>
      <c r="G305" t="n">
        <v>50</v>
      </c>
      <c r="H305" s="6" t="n">
        <v>250000</v>
      </c>
      <c r="I305" s="13" t="n">
        <v>24000</v>
      </c>
      <c r="J305" s="13" t="n">
        <v>2400</v>
      </c>
      <c r="K305" t="n">
        <v>100</v>
      </c>
      <c r="L305" t="n">
        <v>46.8</v>
      </c>
      <c r="M305" t="inlineStr"/>
    </row>
    <row r="306">
      <c r="A306" s="14" t="n">
        <v>366</v>
      </c>
      <c r="B306" s="15" t="n">
        <v>30.29091</v>
      </c>
      <c r="C306" s="15" t="n">
        <v>35.09632</v>
      </c>
      <c r="D306" s="14" t="inlineStr">
        <is>
          <t>13</t>
        </is>
      </c>
      <c r="E306" s="14" t="inlineStr">
        <is>
          <t>רגיל</t>
        </is>
      </c>
      <c r="F306" s="14" t="inlineStr">
        <is>
          <t>נגב / ערבה</t>
        </is>
      </c>
      <c r="G306" s="14" t="n">
        <v>20</v>
      </c>
      <c r="H306" s="16" t="n">
        <v>150000</v>
      </c>
      <c r="I306" s="17" t="n">
        <v>8000</v>
      </c>
      <c r="J306" s="17" t="n">
        <v>800</v>
      </c>
      <c r="K306" s="14" t="n">
        <v>90</v>
      </c>
      <c r="L306" s="14" t="n">
        <v>15.6</v>
      </c>
      <c r="M306" s="14" t="inlineStr"/>
    </row>
    <row r="307">
      <c r="A307" t="n">
        <v>367</v>
      </c>
      <c r="B307" s="12" t="n">
        <v>30.9957</v>
      </c>
      <c r="C307" s="12" t="n">
        <v>34.92368</v>
      </c>
      <c r="D307" t="inlineStr">
        <is>
          <t>204</t>
        </is>
      </c>
      <c r="E307" t="inlineStr">
        <is>
          <t>רגיל</t>
        </is>
      </c>
      <c r="F307" t="inlineStr">
        <is>
          <t>נגב / ערבה</t>
        </is>
      </c>
      <c r="G307" t="n">
        <v>20</v>
      </c>
      <c r="H307" s="6" t="n">
        <v>150000</v>
      </c>
      <c r="I307" s="13" t="n">
        <v>8000</v>
      </c>
      <c r="J307" s="13" t="n">
        <v>800</v>
      </c>
      <c r="K307" t="n">
        <v>80</v>
      </c>
      <c r="L307" t="n">
        <v>15.6</v>
      </c>
      <c r="M307" t="inlineStr"/>
    </row>
    <row r="308">
      <c r="A308" s="14" t="n">
        <v>368</v>
      </c>
      <c r="B308" s="15" t="n">
        <v>32.57236</v>
      </c>
      <c r="C308" s="15" t="n">
        <v>35.07668</v>
      </c>
      <c r="D308" s="14" t="inlineStr">
        <is>
          <t>672</t>
        </is>
      </c>
      <c r="E308" s="14" t="inlineStr">
        <is>
          <t>רגיל</t>
        </is>
      </c>
      <c r="F308" s="14" t="inlineStr">
        <is>
          <t>חיפה / כרמל</t>
        </is>
      </c>
      <c r="G308" s="14" t="n">
        <v>20</v>
      </c>
      <c r="H308" s="16" t="n">
        <v>150000</v>
      </c>
      <c r="I308" s="17" t="n">
        <v>8000</v>
      </c>
      <c r="J308" s="17" t="n">
        <v>800</v>
      </c>
      <c r="K308" s="14" t="n">
        <v>80</v>
      </c>
      <c r="L308" s="14" t="n">
        <v>15.6</v>
      </c>
      <c r="M308" s="14" t="inlineStr"/>
    </row>
    <row r="309">
      <c r="A309" t="n">
        <v>369</v>
      </c>
      <c r="B309" s="12" t="n">
        <v>32.56674</v>
      </c>
      <c r="C309" s="12" t="n">
        <v>35.26239</v>
      </c>
      <c r="D309" t="inlineStr">
        <is>
          <t>675</t>
        </is>
      </c>
      <c r="E309" t="inlineStr">
        <is>
          <t>רגיל</t>
        </is>
      </c>
      <c r="F309" t="inlineStr">
        <is>
          <t>חיפה / כרמל</t>
        </is>
      </c>
      <c r="G309" t="n">
        <v>20</v>
      </c>
      <c r="H309" s="6" t="n">
        <v>150000</v>
      </c>
      <c r="I309" s="13" t="n">
        <v>8000</v>
      </c>
      <c r="J309" s="13" t="n">
        <v>800</v>
      </c>
      <c r="K309" t="n">
        <v>80</v>
      </c>
      <c r="L309" t="n">
        <v>15.6</v>
      </c>
      <c r="M309" t="inlineStr"/>
    </row>
    <row r="310">
      <c r="A310" s="14" t="n">
        <v>370</v>
      </c>
      <c r="B310" s="15" t="n">
        <v>30.91157</v>
      </c>
      <c r="C310" s="15" t="n">
        <v>34.84372</v>
      </c>
      <c r="D310" s="14" t="inlineStr">
        <is>
          <t>204</t>
        </is>
      </c>
      <c r="E310" s="14" t="inlineStr">
        <is>
          <t>עוטף עזה</t>
        </is>
      </c>
      <c r="F310" s="14" t="inlineStr">
        <is>
          <t>עוטף עזה / הנגב המערבי</t>
        </is>
      </c>
      <c r="G310" s="14" t="n">
        <v>20</v>
      </c>
      <c r="H310" s="16" t="n">
        <v>150000</v>
      </c>
      <c r="I310" s="17" t="n">
        <v>8000</v>
      </c>
      <c r="J310" s="17" t="n">
        <v>800</v>
      </c>
      <c r="K310" s="14" t="n">
        <v>80</v>
      </c>
      <c r="L310" s="14" t="n">
        <v>15.6</v>
      </c>
      <c r="M310" s="14" t="inlineStr"/>
    </row>
    <row r="311">
      <c r="A311" t="n">
        <v>371</v>
      </c>
      <c r="B311" s="12" t="n">
        <v>29.55534</v>
      </c>
      <c r="C311" s="12" t="n">
        <v>34.91334</v>
      </c>
      <c r="D311" t="inlineStr">
        <is>
          <t>דרך החוגגים</t>
        </is>
      </c>
      <c r="E311" t="inlineStr">
        <is>
          <t>רגיל</t>
        </is>
      </c>
      <c r="F311" t="inlineStr">
        <is>
          <t>נגב / ערבה</t>
        </is>
      </c>
      <c r="G311" t="n">
        <v>20</v>
      </c>
      <c r="H311" s="6" t="n">
        <v>150000</v>
      </c>
      <c r="I311" s="13" t="n">
        <v>8000</v>
      </c>
      <c r="J311" s="13" t="n">
        <v>800</v>
      </c>
      <c r="K311" t="n">
        <v>80</v>
      </c>
      <c r="L311" t="n">
        <v>15.6</v>
      </c>
      <c r="M311" t="inlineStr"/>
    </row>
    <row r="312">
      <c r="A312" s="14" t="n">
        <v>374</v>
      </c>
      <c r="B312" s="15" t="n">
        <v>32.59429</v>
      </c>
      <c r="C312" s="15" t="n">
        <v>35.18035</v>
      </c>
      <c r="D312" s="14" t="inlineStr">
        <is>
          <t>66</t>
        </is>
      </c>
      <c r="E312" s="14" t="inlineStr">
        <is>
          <t>רגיל</t>
        </is>
      </c>
      <c r="F312" s="14" t="inlineStr">
        <is>
          <t>חיפה / כרמל</t>
        </is>
      </c>
      <c r="G312" s="14" t="n">
        <v>20</v>
      </c>
      <c r="H312" s="16" t="n">
        <v>150000</v>
      </c>
      <c r="I312" s="17" t="n">
        <v>8000</v>
      </c>
      <c r="J312" s="17" t="n">
        <v>800</v>
      </c>
      <c r="K312" s="14" t="n">
        <v>60</v>
      </c>
      <c r="L312" s="14" t="n">
        <v>15.6</v>
      </c>
      <c r="M312" s="14" t="inlineStr"/>
    </row>
    <row r="313">
      <c r="A313" t="n">
        <v>375</v>
      </c>
      <c r="B313" s="12" t="n">
        <v>31.00401</v>
      </c>
      <c r="C313" s="12" t="n">
        <v>35.27512</v>
      </c>
      <c r="D313" t="inlineStr">
        <is>
          <t>מעלה תמר</t>
        </is>
      </c>
      <c r="E313" t="inlineStr">
        <is>
          <t>רגיל</t>
        </is>
      </c>
      <c r="F313" t="inlineStr">
        <is>
          <t>נגב / ערבה</t>
        </is>
      </c>
      <c r="G313" t="n">
        <v>20</v>
      </c>
      <c r="H313" s="6" t="n">
        <v>150000</v>
      </c>
      <c r="I313" s="13" t="n">
        <v>8000</v>
      </c>
      <c r="J313" s="13" t="n">
        <v>800</v>
      </c>
      <c r="K313" t="n">
        <v>80</v>
      </c>
      <c r="L313" t="n">
        <v>15.6</v>
      </c>
      <c r="M313" t="inlineStr"/>
    </row>
    <row r="314">
      <c r="A314" s="14" t="n">
        <v>377</v>
      </c>
      <c r="B314" s="15" t="n">
        <v>30.92485</v>
      </c>
      <c r="C314" s="15" t="n">
        <v>35.02487</v>
      </c>
      <c r="D314" s="14" t="inlineStr">
        <is>
          <t>206</t>
        </is>
      </c>
      <c r="E314" s="14" t="inlineStr">
        <is>
          <t>רגיל</t>
        </is>
      </c>
      <c r="F314" s="14" t="inlineStr">
        <is>
          <t>נגב / ערבה</t>
        </is>
      </c>
      <c r="G314" s="14" t="n">
        <v>20</v>
      </c>
      <c r="H314" s="16" t="n">
        <v>150000</v>
      </c>
      <c r="I314" s="17" t="n">
        <v>8000</v>
      </c>
      <c r="J314" s="17" t="n">
        <v>800</v>
      </c>
      <c r="K314" s="14" t="n">
        <v>80</v>
      </c>
      <c r="L314" s="14" t="n">
        <v>15.6</v>
      </c>
      <c r="M314" s="14" t="inlineStr"/>
    </row>
    <row r="315">
      <c r="A315" t="n">
        <v>378</v>
      </c>
      <c r="B315" s="12" t="n">
        <v>32.71419</v>
      </c>
      <c r="C315" s="12" t="n">
        <v>35.54642</v>
      </c>
      <c r="D315" t="inlineStr">
        <is>
          <t>767</t>
        </is>
      </c>
      <c r="E315" t="inlineStr">
        <is>
          <t>רגיל</t>
        </is>
      </c>
      <c r="F315" t="inlineStr">
        <is>
          <t>חיפה / כרמל</t>
        </is>
      </c>
      <c r="G315" t="n">
        <v>20</v>
      </c>
      <c r="H315" s="6" t="n">
        <v>150000</v>
      </c>
      <c r="I315" s="13" t="n">
        <v>8000</v>
      </c>
      <c r="J315" s="13" t="n">
        <v>800</v>
      </c>
      <c r="K315" t="n">
        <v>80</v>
      </c>
      <c r="L315" t="n">
        <v>15.6</v>
      </c>
      <c r="M315" t="inlineStr"/>
    </row>
    <row r="316">
      <c r="A316" s="14" t="n">
        <v>380</v>
      </c>
      <c r="B316" s="15" t="n">
        <v>30.93723</v>
      </c>
      <c r="C316" s="15" t="n">
        <v>35.11694</v>
      </c>
      <c r="D316" s="14" t="inlineStr">
        <is>
          <t>227</t>
        </is>
      </c>
      <c r="E316" s="14" t="inlineStr">
        <is>
          <t>רגיל</t>
        </is>
      </c>
      <c r="F316" s="14" t="inlineStr">
        <is>
          <t>נגב / ערבה</t>
        </is>
      </c>
      <c r="G316" s="14" t="n">
        <v>20</v>
      </c>
      <c r="H316" s="16" t="n">
        <v>150000</v>
      </c>
      <c r="I316" s="17" t="n">
        <v>8000</v>
      </c>
      <c r="J316" s="17" t="n">
        <v>800</v>
      </c>
      <c r="K316" s="14" t="n">
        <v>80</v>
      </c>
      <c r="L316" s="14" t="n">
        <v>15.6</v>
      </c>
      <c r="M316" s="14" t="inlineStr"/>
    </row>
    <row r="317">
      <c r="A317" t="n">
        <v>381</v>
      </c>
      <c r="B317" s="12" t="n">
        <v>30.95248</v>
      </c>
      <c r="C317" s="12" t="n">
        <v>35.01187</v>
      </c>
      <c r="D317" t="inlineStr">
        <is>
          <t>225</t>
        </is>
      </c>
      <c r="E317" t="inlineStr">
        <is>
          <t>רגיל</t>
        </is>
      </c>
      <c r="F317" t="inlineStr">
        <is>
          <t>נגב / ערבה</t>
        </is>
      </c>
      <c r="G317" t="n">
        <v>12</v>
      </c>
      <c r="H317" s="6" t="n">
        <v>100000</v>
      </c>
      <c r="I317" s="13" t="n">
        <v>4000</v>
      </c>
      <c r="J317" s="13" t="n">
        <v>400</v>
      </c>
      <c r="K317" t="n">
        <v>50</v>
      </c>
      <c r="L317" t="n">
        <v>7.8</v>
      </c>
      <c r="M317" t="inlineStr"/>
    </row>
    <row r="318">
      <c r="A318" s="14" t="n">
        <v>382</v>
      </c>
      <c r="B318" s="15" t="n">
        <v>31.01151</v>
      </c>
      <c r="C318" s="15" t="n">
        <v>35.07848</v>
      </c>
      <c r="D318" s="14" t="inlineStr">
        <is>
          <t>206</t>
        </is>
      </c>
      <c r="E318" s="14" t="inlineStr">
        <is>
          <t>רגיל</t>
        </is>
      </c>
      <c r="F318" s="14" t="inlineStr">
        <is>
          <t>נגב / ערבה</t>
        </is>
      </c>
      <c r="G318" s="14" t="n">
        <v>20</v>
      </c>
      <c r="H318" s="16" t="n">
        <v>150000</v>
      </c>
      <c r="I318" s="17" t="n">
        <v>8000</v>
      </c>
      <c r="J318" s="17" t="n">
        <v>800</v>
      </c>
      <c r="K318" s="14" t="n">
        <v>80</v>
      </c>
      <c r="L318" s="14" t="n">
        <v>15.6</v>
      </c>
      <c r="M318" s="14" t="inlineStr"/>
    </row>
    <row r="319">
      <c r="A319" t="n">
        <v>383</v>
      </c>
      <c r="B319" s="12" t="n">
        <v>30.88774</v>
      </c>
      <c r="C319" s="12" t="n">
        <v>35.13939</v>
      </c>
      <c r="D319" t="inlineStr">
        <is>
          <t>227</t>
        </is>
      </c>
      <c r="E319" t="inlineStr">
        <is>
          <t>רגיל</t>
        </is>
      </c>
      <c r="F319" t="inlineStr">
        <is>
          <t>נגב / ערבה</t>
        </is>
      </c>
      <c r="G319" t="n">
        <v>20</v>
      </c>
      <c r="H319" s="6" t="n">
        <v>150000</v>
      </c>
      <c r="I319" s="13" t="n">
        <v>8000</v>
      </c>
      <c r="J319" s="13" t="n">
        <v>800</v>
      </c>
      <c r="K319" t="n">
        <v>80</v>
      </c>
      <c r="L319" t="n">
        <v>15.6</v>
      </c>
      <c r="M319" t="inlineStr"/>
    </row>
    <row r="320">
      <c r="A320" s="14" t="n">
        <v>384</v>
      </c>
      <c r="B320" s="15" t="n">
        <v>30.9633</v>
      </c>
      <c r="C320" s="15" t="n">
        <v>35.04934</v>
      </c>
      <c r="D320" s="14" t="inlineStr">
        <is>
          <t>227</t>
        </is>
      </c>
      <c r="E320" s="14" t="inlineStr">
        <is>
          <t>רגיל</t>
        </is>
      </c>
      <c r="F320" s="14" t="inlineStr">
        <is>
          <t>נגב / ערבה</t>
        </is>
      </c>
      <c r="G320" s="14" t="n">
        <v>20</v>
      </c>
      <c r="H320" s="16" t="n">
        <v>150000</v>
      </c>
      <c r="I320" s="17" t="n">
        <v>8000</v>
      </c>
      <c r="J320" s="17" t="n">
        <v>800</v>
      </c>
      <c r="K320" s="14" t="n">
        <v>80</v>
      </c>
      <c r="L320" s="14" t="n">
        <v>15.6</v>
      </c>
      <c r="M320" s="14" t="inlineStr"/>
    </row>
    <row r="321">
      <c r="A321" t="n">
        <v>385</v>
      </c>
      <c r="B321" s="12" t="n">
        <v>31.08317</v>
      </c>
      <c r="C321" s="12" t="n">
        <v>35.21114</v>
      </c>
      <c r="D321" t="inlineStr">
        <is>
          <t>258</t>
        </is>
      </c>
      <c r="E321" t="inlineStr">
        <is>
          <t>רגיל</t>
        </is>
      </c>
      <c r="F321" t="inlineStr">
        <is>
          <t>נגב / ערבה</t>
        </is>
      </c>
      <c r="G321" t="n">
        <v>20</v>
      </c>
      <c r="H321" s="6" t="n">
        <v>150000</v>
      </c>
      <c r="I321" s="13" t="n">
        <v>8000</v>
      </c>
      <c r="J321" s="13" t="n">
        <v>800</v>
      </c>
      <c r="K321" t="n">
        <v>80</v>
      </c>
      <c r="L321" t="n">
        <v>15.6</v>
      </c>
      <c r="M321" t="inlineStr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6" customWidth="1" min="4" max="4"/>
    <col width="16" customWidth="1" min="5" max="5"/>
  </cols>
  <sheetData>
    <row r="1">
      <c r="A1" s="10" t="inlineStr">
        <is>
          <t>פירוט לפי אזור גיאוגרפי</t>
        </is>
      </c>
    </row>
    <row r="2">
      <c r="A2" s="18" t="inlineStr">
        <is>
          <t>אזור</t>
        </is>
      </c>
      <c r="B2" s="18" t="inlineStr">
        <is>
          <t>כמות מיגוניות</t>
        </is>
      </c>
      <c r="C2" s="18" t="inlineStr">
        <is>
          <t>עלות כוללת (₪)</t>
        </is>
      </c>
      <c r="D2" s="18" t="inlineStr">
        <is>
          <t>% מסה"כ כמות</t>
        </is>
      </c>
      <c r="E2" s="18" t="inlineStr">
        <is>
          <t>% מסה"כ עלות</t>
        </is>
      </c>
    </row>
    <row r="3">
      <c r="A3" t="inlineStr">
        <is>
          <t>חיפה / כרמל</t>
        </is>
      </c>
      <c r="B3" t="n">
        <v>105</v>
      </c>
      <c r="C3" s="6" t="n">
        <v>17800000</v>
      </c>
      <c r="D3" t="n">
        <v>32.9</v>
      </c>
      <c r="E3" t="n">
        <v>31.8</v>
      </c>
    </row>
    <row r="4">
      <c r="A4" t="inlineStr">
        <is>
          <t>ירושלים / שפלה</t>
        </is>
      </c>
      <c r="B4" t="n">
        <v>47</v>
      </c>
      <c r="C4" s="6" t="n">
        <v>9700000</v>
      </c>
      <c r="D4" t="n">
        <v>14.7</v>
      </c>
      <c r="E4" t="n">
        <v>17.3</v>
      </c>
    </row>
    <row r="5">
      <c r="A5" t="inlineStr">
        <is>
          <t>מרכז (שרון / גוש דן)</t>
        </is>
      </c>
      <c r="B5" t="n">
        <v>35</v>
      </c>
      <c r="C5" s="6" t="n">
        <v>6850000</v>
      </c>
      <c r="D5" t="n">
        <v>11</v>
      </c>
      <c r="E5" t="n">
        <v>12.2</v>
      </c>
    </row>
    <row r="6">
      <c r="A6" t="inlineStr">
        <is>
          <t>נגב / ערבה</t>
        </is>
      </c>
      <c r="B6" t="n">
        <v>59</v>
      </c>
      <c r="C6" s="6" t="n">
        <v>9600000</v>
      </c>
      <c r="D6" t="n">
        <v>18.5</v>
      </c>
      <c r="E6" t="n">
        <v>17.1</v>
      </c>
    </row>
    <row r="7">
      <c r="A7" t="inlineStr">
        <is>
          <t>עוטף עזה / הנגב המערבי</t>
        </is>
      </c>
      <c r="B7" t="n">
        <v>61</v>
      </c>
      <c r="C7" s="6" t="n">
        <v>10350000</v>
      </c>
      <c r="D7" t="n">
        <v>19.1</v>
      </c>
      <c r="E7" t="n">
        <v>18.5</v>
      </c>
    </row>
    <row r="8">
      <c r="A8" t="inlineStr">
        <is>
          <t>צפון (גליל / גבול לבנון)</t>
        </is>
      </c>
      <c r="B8" t="n">
        <v>12</v>
      </c>
      <c r="C8" s="6" t="n">
        <v>1723000</v>
      </c>
      <c r="D8" t="n">
        <v>3.8</v>
      </c>
      <c r="E8" t="n">
        <v>3.1</v>
      </c>
    </row>
    <row r="9">
      <c r="A9" s="4" t="inlineStr">
        <is>
          <t>סה"כ</t>
        </is>
      </c>
      <c r="B9" s="4" t="n">
        <v>319</v>
      </c>
      <c r="C9" s="7" t="n">
        <v>56023000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6" customWidth="1" min="5" max="5"/>
  </cols>
  <sheetData>
    <row r="1">
      <c r="A1" s="10" t="inlineStr">
        <is>
          <t>פירוט לפי קיבולת</t>
        </is>
      </c>
    </row>
    <row r="2">
      <c r="A2" s="18" t="inlineStr">
        <is>
          <t>קיבולת (אנשים)</t>
        </is>
      </c>
      <c r="B2" s="18" t="inlineStr">
        <is>
          <t>כמות מיגוניות</t>
        </is>
      </c>
      <c r="C2" s="18" t="inlineStr">
        <is>
          <t>עלות ליחידה (₪)</t>
        </is>
      </c>
      <c r="D2" s="18" t="inlineStr">
        <is>
          <t>עלות כוללת (₪)</t>
        </is>
      </c>
      <c r="E2" s="18" t="inlineStr">
        <is>
          <t>% מסה"כ כמות</t>
        </is>
      </c>
    </row>
    <row r="3">
      <c r="A3" t="n">
        <v>6</v>
      </c>
      <c r="B3" t="n">
        <v>1</v>
      </c>
      <c r="C3" s="6" t="n">
        <v>73000</v>
      </c>
      <c r="D3" s="6" t="n">
        <v>73000</v>
      </c>
      <c r="E3" t="n">
        <v>0.3</v>
      </c>
    </row>
    <row r="4">
      <c r="A4" t="n">
        <v>12</v>
      </c>
      <c r="B4" t="n">
        <v>29</v>
      </c>
      <c r="C4" s="6" t="n">
        <v>100000</v>
      </c>
      <c r="D4" s="6" t="n">
        <v>2900000</v>
      </c>
      <c r="E4" t="n">
        <v>9.1</v>
      </c>
    </row>
    <row r="5">
      <c r="A5" t="n">
        <v>20</v>
      </c>
      <c r="B5" t="n">
        <v>181</v>
      </c>
      <c r="C5" s="6" t="n">
        <v>150000</v>
      </c>
      <c r="D5" s="6" t="n">
        <v>27150000</v>
      </c>
      <c r="E5" t="n">
        <v>56.7</v>
      </c>
    </row>
    <row r="6">
      <c r="A6" t="n">
        <v>30</v>
      </c>
      <c r="B6" t="n">
        <v>22</v>
      </c>
      <c r="C6" s="6" t="n">
        <v>200000</v>
      </c>
      <c r="D6" s="6" t="n">
        <v>4400000</v>
      </c>
      <c r="E6" t="n">
        <v>6.9</v>
      </c>
    </row>
    <row r="7">
      <c r="A7" t="n">
        <v>50</v>
      </c>
      <c r="B7" t="n">
        <v>86</v>
      </c>
      <c r="C7" s="6" t="n">
        <v>250000</v>
      </c>
      <c r="D7" s="6" t="n">
        <v>21500000</v>
      </c>
      <c r="E7" t="n">
        <v>27</v>
      </c>
    </row>
    <row r="8">
      <c r="A8" s="4" t="inlineStr">
        <is>
          <t>סה"כ</t>
        </is>
      </c>
      <c r="B8" s="4" t="n">
        <v>319</v>
      </c>
      <c r="D8" s="7" t="n">
        <v>56023000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2026-04-09T11:12:33Z</dcterms:created>
  <dcterms:modified xmlns:dcterms="http://purl.org/dc/terms/" xmlns:xsi="http://www.w3.org/2001/XMLSchema-instance" xsi:type="dcterms:W3CDTF">2026-04-09T11:12:33Z</dcterms:modified>
</cp:coreProperties>
</file>